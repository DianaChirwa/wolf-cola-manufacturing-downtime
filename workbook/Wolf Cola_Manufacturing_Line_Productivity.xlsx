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dd041bb3dd47639/Documents/GitHub/Wolf-Cola-Manufacturing-Downtime/workbook/"/>
    </mc:Choice>
  </mc:AlternateContent>
  <xr:revisionPtr revIDLastSave="11" documentId="8_{DEBB2F9C-A5BA-4D6B-9F10-E30212C246C9}" xr6:coauthVersionLast="47" xr6:coauthVersionMax="47" xr10:uidLastSave="{D975E92D-4841-4367-868D-259EDF6E488D}"/>
  <bookViews>
    <workbookView xWindow="-108" yWindow="-108" windowWidth="23256" windowHeight="13896" xr2:uid="{00000000-000D-0000-FFFF-FFFF00000000}"/>
  </bookViews>
  <sheets>
    <sheet name="Dashboard" sheetId="14" r:id="rId1"/>
    <sheet name="Line productivity" sheetId="1" r:id="rId2"/>
    <sheet name="Products" sheetId="2" r:id="rId3"/>
    <sheet name="Downtime factors" sheetId="3" r:id="rId4"/>
    <sheet name="Line downtime" sheetId="4" r:id="rId5"/>
    <sheet name="Dataset Audit" sheetId="5" r:id="rId6"/>
    <sheet name="Copy Line downtime" sheetId="6" r:id="rId7"/>
    <sheet name="Fact Downtime" sheetId="7" r:id="rId8"/>
    <sheet name="Production Analysis" sheetId="8" r:id="rId9"/>
    <sheet name="EDA Downtime" sheetId="10" r:id="rId10"/>
    <sheet name="EDA Operator Perfomance" sheetId="11" r:id="rId11"/>
    <sheet name="EDA Product Performance" sheetId="12" r:id="rId12"/>
    <sheet name="EDA Time" sheetId="13" r:id="rId13"/>
    <sheet name="EDA Summary" sheetId="9" r:id="rId14"/>
  </sheets>
  <definedNames>
    <definedName name="_xlnm._FilterDatabase" localSheetId="1" hidden="1">'Line productivity'!$D$1:$D$1000</definedName>
  </definedNames>
  <calcPr calcId="191028"/>
  <pivotCaches>
    <pivotCache cacheId="0" r:id="rId15"/>
    <pivotCache cacheId="1" r:id="rId16"/>
    <pivotCache cacheId="2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9" l="1" a="1"/>
  <c r="A17" i="9" a="1"/>
  <c r="P6" i="14"/>
  <c r="G5" i="13"/>
  <c r="G6" i="13"/>
  <c r="G7" i="13"/>
  <c r="G8" i="13"/>
  <c r="G4" i="13"/>
  <c r="C17" i="9" s="1" a="1"/>
  <c r="F5" i="13"/>
  <c r="F6" i="13"/>
  <c r="F7" i="13"/>
  <c r="F8" i="13"/>
  <c r="F4" i="13"/>
  <c r="G5" i="12"/>
  <c r="G6" i="12"/>
  <c r="G7" i="12"/>
  <c r="G8" i="12"/>
  <c r="G9" i="12"/>
  <c r="G4" i="12"/>
  <c r="B25" i="9" s="1" a="1"/>
  <c r="F5" i="12"/>
  <c r="F6" i="12"/>
  <c r="F7" i="12"/>
  <c r="F8" i="12"/>
  <c r="F9" i="12"/>
  <c r="F4" i="12"/>
  <c r="C25" i="9" s="1" a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2" i="7"/>
  <c r="E5" i="11"/>
  <c r="E6" i="11"/>
  <c r="E7" i="11"/>
  <c r="E4" i="11"/>
  <c r="B8" i="9"/>
  <c r="H6" i="14" s="1"/>
  <c r="C6" i="9"/>
  <c r="C1" i="9"/>
  <c r="B6" i="9"/>
  <c r="L41" i="8"/>
  <c r="B5" i="9"/>
  <c r="B3" i="9"/>
  <c r="B2" i="9"/>
  <c r="B1" i="9" s="1"/>
  <c r="D6" i="14" s="1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2" i="8"/>
  <c r="J43" i="8"/>
  <c r="J42" i="8"/>
  <c r="I43" i="8"/>
  <c r="I42" i="8"/>
  <c r="J41" i="8"/>
  <c r="I4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2" i="8"/>
  <c r="H42" i="8"/>
  <c r="H4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2" i="8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F2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2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3" i="8"/>
  <c r="B4" i="8"/>
  <c r="B5" i="8"/>
  <c r="B6" i="8"/>
  <c r="B7" i="8"/>
  <c r="B8" i="8"/>
  <c r="B9" i="8"/>
  <c r="B10" i="8"/>
  <c r="B11" i="8"/>
  <c r="B12" i="8"/>
  <c r="B13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2" i="8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3" i="7"/>
  <c r="E4" i="7"/>
  <c r="E5" i="7"/>
  <c r="E6" i="7"/>
  <c r="E7" i="7"/>
  <c r="E8" i="7"/>
  <c r="E9" i="7"/>
  <c r="E10" i="7"/>
  <c r="A2" i="7" a="1"/>
  <c r="H2" i="7"/>
  <c r="G2" i="7"/>
  <c r="E2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B42" i="5"/>
  <c r="A42" i="5"/>
  <c r="A41" i="6" a="1"/>
  <c r="A42" i="4" a="1"/>
  <c r="B19" i="9" l="1"/>
  <c r="B20" i="9"/>
  <c r="B21" i="9"/>
  <c r="B22" i="9"/>
  <c r="B18" i="9"/>
  <c r="L6" i="14"/>
  <c r="C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<sst xmlns="http://schemas.openxmlformats.org/spreadsheetml/2006/main" count="379" uniqueCount="148">
  <si>
    <t xml:space="preserve">WOLF COLA </t>
  </si>
  <si>
    <t>Manufacturing Line Productivity</t>
  </si>
  <si>
    <t>Line Efficiency</t>
  </si>
  <si>
    <t>Downtime Rate</t>
  </si>
  <si>
    <t>Total Downtime</t>
  </si>
  <si>
    <t>Downtime Events</t>
  </si>
  <si>
    <t>Minimum time ÷ Actual time</t>
  </si>
  <si>
    <t>Downtime ÷ Actual time</t>
  </si>
  <si>
    <t>Across 38 production batches</t>
  </si>
  <si>
    <t>Recorded downtime events</t>
  </si>
  <si>
    <t>WHAT IS DRIVING DOWNTIME FOR EACH OPERATOR?</t>
  </si>
  <si>
    <t>Batch change</t>
  </si>
  <si>
    <t>Batch coding error</t>
  </si>
  <si>
    <t>Calibration error</t>
  </si>
  <si>
    <t>Conveyor belt jam</t>
  </si>
  <si>
    <t>Inventory shortage</t>
  </si>
  <si>
    <t>Label switch</t>
  </si>
  <si>
    <t>Labeling error</t>
  </si>
  <si>
    <t>Machine adjustment</t>
  </si>
  <si>
    <t>Machine failure</t>
  </si>
  <si>
    <t>Other</t>
  </si>
  <si>
    <t>Product spill</t>
  </si>
  <si>
    <t>Charlie</t>
  </si>
  <si>
    <t>Dee</t>
  </si>
  <si>
    <t>Dennis</t>
  </si>
  <si>
    <t>Mac</t>
  </si>
  <si>
    <t>DOWNTIME MINUTES</t>
  </si>
  <si>
    <t>&lt;25</t>
  </si>
  <si>
    <t>25-49</t>
  </si>
  <si>
    <t>50-99</t>
  </si>
  <si>
    <t>100+</t>
  </si>
  <si>
    <t>Date</t>
  </si>
  <si>
    <t>Product</t>
  </si>
  <si>
    <t>Batch</t>
  </si>
  <si>
    <t>Operator</t>
  </si>
  <si>
    <t>Start Time</t>
  </si>
  <si>
    <t>End Time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</si>
  <si>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</si>
  <si>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</si>
  <si>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</si>
  <si>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</si>
  <si>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</si>
  <si>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</si>
  <si>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</si>
  <si>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</si>
  <si>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</si>
  <si>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</si>
  <si>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</si>
  <si>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</si>
  <si>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</si>
  <si>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</si>
  <si>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Beer</t>
  </si>
  <si>
    <t>2 L</t>
  </si>
  <si>
    <t>Factor</t>
  </si>
  <si>
    <t>Description</t>
  </si>
  <si>
    <t>Operator Error</t>
  </si>
  <si>
    <t>Emergency stop</t>
  </si>
  <si>
    <t>No</t>
  </si>
  <si>
    <t>Yes</t>
  </si>
  <si>
    <t>Downtime factor</t>
  </si>
  <si>
    <t>Line productivity</t>
  </si>
  <si>
    <t>Rows:</t>
  </si>
  <si>
    <t>Columns:</t>
  </si>
  <si>
    <t>Unique batches:</t>
  </si>
  <si>
    <t>Unique operators:</t>
  </si>
  <si>
    <t>Unique products:</t>
  </si>
  <si>
    <t>Date range:</t>
  </si>
  <si>
    <t>29 August 2024 – 3 September 2024. Some calendar dates within this period have no recorded production batches</t>
  </si>
  <si>
    <t>Missing values:</t>
  </si>
  <si>
    <t>None</t>
  </si>
  <si>
    <t>Duplicate batches:</t>
  </si>
  <si>
    <t>Every batch has a unique value</t>
  </si>
  <si>
    <t>Products</t>
  </si>
  <si>
    <t>Duplicate products:</t>
  </si>
  <si>
    <t>Line downtime</t>
  </si>
  <si>
    <t>Number of downtime factors:</t>
  </si>
  <si>
    <t>Looking at the data, i think the only time there was a recording here is when there was a downtime, by factor, so there are some blanks.
Blank cells occur across the downtime-factor columns. Based on the table structure, these appear to represent factors for which no downtime was recorded for a particular batch. This interpretation will be validated before blanks are converted to zero during data cleaning.
The table is currently in wide format, with 12 downtime-factor columns. Each batch can have downtime recorded across multiple factors. The data may need to be reshaped into long format for factor-level analysis.</t>
  </si>
  <si>
    <t>Downtime factors</t>
  </si>
  <si>
    <t>Number of factors:</t>
  </si>
  <si>
    <t>Operator Error values:</t>
  </si>
  <si>
    <t>Yes/No</t>
  </si>
  <si>
    <t>Data Set Understanding and Quality Checks</t>
  </si>
  <si>
    <t>Check</t>
  </si>
  <si>
    <t>Result</t>
  </si>
  <si>
    <t>Date/time fields recognised correctly</t>
  </si>
  <si>
    <t>✅ Pass</t>
  </si>
  <si>
    <t>Product IDs match Products table</t>
  </si>
  <si>
    <t>✅ 38/38</t>
  </si>
  <si>
    <t>Batch IDs match Line Downtime</t>
  </si>
  <si>
    <t>Downtime factors 1–12 valid</t>
  </si>
  <si>
    <t>Operator values consistent - Four names, consistently spelled</t>
  </si>
  <si>
    <t>There are no obvious structural integrity problems in the dataset.</t>
  </si>
  <si>
    <t>Source Total Downtime</t>
  </si>
  <si>
    <t>Fact Downtime Total</t>
  </si>
  <si>
    <t>Transformation check</t>
  </si>
  <si>
    <t>38 batches in source</t>
  </si>
  <si>
    <t>✅</t>
  </si>
  <si>
    <t>12 downtime factors</t>
  </si>
  <si>
    <t>61 recorded downtime entries</t>
  </si>
  <si>
    <t>Sample records validated</t>
  </si>
  <si>
    <t>Source total downtime = transformed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</si>
  <si>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</si>
  <si>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</si>
  <si>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</si>
  <si>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</si>
  <si>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</si>
  <si>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</si>
  <si>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</si>
  <si>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</si>
  <si>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</si>
  <si>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</si>
  <si>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</si>
  <si>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</si>
  <si>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Downtime Factor</t>
  </si>
  <si>
    <t>Downtime Minutes</t>
  </si>
  <si>
    <t>Factor Description</t>
  </si>
  <si>
    <t>Min Batch Time</t>
  </si>
  <si>
    <t>Actual Batch Time</t>
  </si>
  <si>
    <t>Time Above Min</t>
  </si>
  <si>
    <t>Recorded Downtime Minutes</t>
  </si>
  <si>
    <t>Unexplained/Other time</t>
  </si>
  <si>
    <t>Efficiency%</t>
  </si>
  <si>
    <t xml:space="preserve">Downtime% </t>
  </si>
  <si>
    <t>Sum of Downtime Minutes</t>
  </si>
  <si>
    <t>Grand Total</t>
  </si>
  <si>
    <t>Sum of Downtime Minutes2</t>
  </si>
  <si>
    <t>Count of Downtime Factor</t>
  </si>
  <si>
    <t>Average of Downtime Minutes3</t>
  </si>
  <si>
    <t>Which specific downtime factors are driving the 55.91% operator-related downtime?</t>
  </si>
  <si>
    <t>Count of Batch</t>
  </si>
  <si>
    <t>Sum of Actual Batch Time</t>
  </si>
  <si>
    <t>Sum of Recorded Downtime Minutes</t>
  </si>
  <si>
    <t>Downtime %</t>
  </si>
  <si>
    <t>Mac has the highest downtime rate, but his downtime pattern is different from the other operators.</t>
  </si>
  <si>
    <t>Are certain products associated with higher production inefficiency or downtime?</t>
  </si>
  <si>
    <t>Sum of Min Batch Time</t>
  </si>
  <si>
    <t>Downtime%</t>
  </si>
  <si>
    <t>OR-600 shows the lowest observed efficiency and highest downtime rate, but this is based on a single batch and therefore is insufficient evidence of a systematic product-level issue.</t>
  </si>
  <si>
    <t>Is efficiency/downtime getting better or worse over time?</t>
  </si>
  <si>
    <t>"Efficiency fluctuated across the observed production dates, with the lowest performance occurring on 2 September."</t>
  </si>
  <si>
    <t>Overall efficiency</t>
  </si>
  <si>
    <t>Total Minimum Batch Time</t>
  </si>
  <si>
    <t>Total Actual Batch Time</t>
  </si>
  <si>
    <t>Total Recorded Downtime</t>
  </si>
  <si>
    <t>Average Batch Efficiency</t>
  </si>
  <si>
    <t>Overall downtime %</t>
  </si>
  <si>
    <t>Number of batches</t>
  </si>
  <si>
    <t>29 Aug – 3 Sep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</si>
</sst>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F400]h:mm:ss\ AM/PM"/>
  </numFmts>
  <fonts count="29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color rgb="FF4F4935"/>
      <name val="Aptos Narrow"/>
      <family val="2"/>
      <scheme val="minor"/>
    </font>
    <font>
      <sz val="9"/>
      <color rgb="FF29282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28"/>
      <color theme="1"/>
      <name val="Aptos"/>
      <family val="2"/>
    </font>
    <font>
      <b/>
      <sz val="28"/>
      <color rgb="FF4F4935"/>
      <name val="Aptos"/>
      <family val="2"/>
    </font>
    <font>
      <b/>
      <i/>
      <sz val="16"/>
      <color rgb="FFF2EEE6"/>
      <name val="Aptos Narrow"/>
      <family val="2"/>
      <scheme val="minor"/>
    </font>
    <font>
      <sz val="36"/>
      <color theme="1"/>
      <name val="Aptos Narrow"/>
      <family val="2"/>
      <scheme val="minor"/>
    </font>
    <font>
      <i/>
      <sz val="18"/>
      <color rgb="FFF2EEE6"/>
      <name val="Aptos Narrow"/>
      <family val="2"/>
      <scheme val="minor"/>
    </font>
    <font>
      <b/>
      <sz val="16"/>
      <color rgb="FFF2EEE6"/>
      <name val="Aptos Narrow"/>
      <family val="2"/>
      <scheme val="minor"/>
    </font>
    <font>
      <b/>
      <sz val="36"/>
      <color rgb="FF332B25"/>
      <name val="Aptos"/>
      <family val="2"/>
    </font>
    <font>
      <b/>
      <sz val="12"/>
      <color rgb="FF6F6257"/>
      <name val="Aptos Narrow"/>
      <family val="2"/>
      <scheme val="minor"/>
    </font>
    <font>
      <b/>
      <sz val="14"/>
      <color rgb="FF332B25"/>
      <name val="Aptos Narrow"/>
      <family val="2"/>
      <scheme val="minor"/>
    </font>
    <font>
      <b/>
      <sz val="11"/>
      <color rgb="FF4A2108"/>
      <name val="Aptos Narrow"/>
      <family val="2"/>
      <scheme val="minor"/>
    </font>
    <font>
      <b/>
      <sz val="10"/>
      <color rgb="FF4A210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sz val="40"/>
      <color theme="0"/>
      <name val="Aptos Display"/>
      <family val="2"/>
    </font>
    <font>
      <sz val="10"/>
      <color rgb="FF9A8F84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5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401801"/>
        <bgColor indexed="64"/>
      </patternFill>
    </fill>
    <fill>
      <patternFill patternType="solid">
        <fgColor rgb="FFE5DED2"/>
        <bgColor indexed="64"/>
      </patternFill>
    </fill>
    <fill>
      <patternFill patternType="solid">
        <fgColor rgb="FFF3EFE7"/>
        <bgColor indexed="64"/>
      </patternFill>
    </fill>
    <fill>
      <patternFill patternType="solid">
        <fgColor rgb="FFDDE1D5"/>
        <bgColor indexed="64"/>
      </patternFill>
    </fill>
    <fill>
      <patternFill patternType="solid">
        <fgColor rgb="FFE9E2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2108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F4935"/>
      </left>
      <right style="thin">
        <color rgb="FF4F4935"/>
      </right>
      <top style="thin">
        <color rgb="FF4F4935"/>
      </top>
      <bottom style="thin">
        <color rgb="FF4F4935"/>
      </bottom>
      <diagonal/>
    </border>
    <border>
      <left style="thin">
        <color rgb="FF401801"/>
      </left>
      <right style="thin">
        <color rgb="FF401801"/>
      </right>
      <top style="thin">
        <color rgb="FF401801"/>
      </top>
      <bottom style="thin">
        <color rgb="FF401801"/>
      </bottom>
      <diagonal/>
    </border>
    <border>
      <left style="thin">
        <color rgb="FFD2C7B9"/>
      </left>
      <right/>
      <top style="thin">
        <color rgb="FFD2C7B9"/>
      </top>
      <bottom/>
      <diagonal/>
    </border>
    <border>
      <left/>
      <right/>
      <top style="thin">
        <color rgb="FFD2C7B9"/>
      </top>
      <bottom/>
      <diagonal/>
    </border>
    <border>
      <left/>
      <right style="thin">
        <color rgb="FFD2C7B9"/>
      </right>
      <top style="thin">
        <color rgb="FFD2C7B9"/>
      </top>
      <bottom/>
      <diagonal/>
    </border>
    <border>
      <left style="thin">
        <color rgb="FFD2C7B9"/>
      </left>
      <right/>
      <top/>
      <bottom/>
      <diagonal/>
    </border>
    <border>
      <left/>
      <right style="thin">
        <color rgb="FFD2C7B9"/>
      </right>
      <top/>
      <bottom/>
      <diagonal/>
    </border>
    <border>
      <left style="thin">
        <color rgb="FFD2C7B9"/>
      </left>
      <right/>
      <top/>
      <bottom style="thin">
        <color rgb="FFD2C7B9"/>
      </bottom>
      <diagonal/>
    </border>
    <border>
      <left/>
      <right/>
      <top/>
      <bottom style="thin">
        <color rgb="FFD2C7B9"/>
      </bottom>
      <diagonal/>
    </border>
    <border>
      <left/>
      <right style="thin">
        <color rgb="FFD2C7B9"/>
      </right>
      <top/>
      <bottom style="thin">
        <color rgb="FFD2C7B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/>
    <xf numFmtId="164" fontId="4" fillId="0" borderId="0" xfId="0" applyNumberFormat="1" applyFont="1"/>
    <xf numFmtId="21" fontId="4" fillId="0" borderId="0" xfId="0" applyNumberFormat="1" applyFont="1"/>
    <xf numFmtId="0" fontId="2" fillId="0" borderId="0" xfId="0" applyFont="1" applyAlignment="1">
      <alignment wrapText="1"/>
    </xf>
    <xf numFmtId="0" fontId="5" fillId="0" borderId="2" xfId="0" applyFont="1" applyBorder="1"/>
    <xf numFmtId="0" fontId="0" fillId="0" borderId="2" xfId="0" applyBorder="1"/>
    <xf numFmtId="0" fontId="0" fillId="0" borderId="1" xfId="0" applyBorder="1"/>
    <xf numFmtId="0" fontId="5" fillId="0" borderId="1" xfId="0" applyFont="1" applyBorder="1"/>
    <xf numFmtId="0" fontId="0" fillId="0" borderId="0" xfId="0" applyAlignment="1">
      <alignment wrapText="1"/>
    </xf>
    <xf numFmtId="0" fontId="1" fillId="2" borderId="1" xfId="0" applyFont="1" applyFill="1" applyBorder="1"/>
    <xf numFmtId="1" fontId="2" fillId="0" borderId="0" xfId="0" applyNumberFormat="1" applyFont="1"/>
    <xf numFmtId="2" fontId="1" fillId="2" borderId="1" xfId="0" applyNumberFormat="1" applyFont="1" applyFill="1" applyBorder="1"/>
    <xf numFmtId="1" fontId="0" fillId="0" borderId="0" xfId="0" applyNumberFormat="1"/>
    <xf numFmtId="21" fontId="0" fillId="0" borderId="0" xfId="0" applyNumberFormat="1"/>
    <xf numFmtId="1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0" borderId="0" xfId="0" pivotButton="1"/>
    <xf numFmtId="0" fontId="5" fillId="0" borderId="0" xfId="0" applyFont="1"/>
    <xf numFmtId="0" fontId="0" fillId="0" borderId="3" xfId="0" applyBorder="1"/>
    <xf numFmtId="0" fontId="5" fillId="0" borderId="3" xfId="0" applyFont="1" applyBorder="1"/>
    <xf numFmtId="10" fontId="0" fillId="0" borderId="3" xfId="0" applyNumberFormat="1" applyBorder="1"/>
    <xf numFmtId="0" fontId="9" fillId="0" borderId="1" xfId="0" applyFont="1" applyBorder="1"/>
    <xf numFmtId="1" fontId="0" fillId="0" borderId="1" xfId="0" applyNumberFormat="1" applyBorder="1"/>
    <xf numFmtId="14" fontId="0" fillId="0" borderId="4" xfId="0" applyNumberFormat="1" applyBorder="1"/>
    <xf numFmtId="10" fontId="0" fillId="0" borderId="4" xfId="0" applyNumberFormat="1" applyBorder="1"/>
    <xf numFmtId="0" fontId="10" fillId="0" borderId="0" xfId="0" applyFont="1" applyAlignment="1">
      <alignment vertical="center"/>
    </xf>
    <xf numFmtId="0" fontId="12" fillId="3" borderId="0" xfId="0" applyFont="1" applyFill="1"/>
    <xf numFmtId="0" fontId="13" fillId="0" borderId="0" xfId="0" applyFont="1"/>
    <xf numFmtId="0" fontId="10" fillId="0" borderId="1" xfId="0" applyFont="1" applyBorder="1" applyAlignment="1">
      <alignment vertical="center"/>
    </xf>
    <xf numFmtId="10" fontId="0" fillId="5" borderId="1" xfId="0" applyNumberFormat="1" applyFill="1" applyBorder="1"/>
    <xf numFmtId="0" fontId="0" fillId="5" borderId="1" xfId="0" applyFill="1" applyBorder="1"/>
    <xf numFmtId="0" fontId="0" fillId="5" borderId="0" xfId="0" applyFill="1"/>
    <xf numFmtId="0" fontId="6" fillId="5" borderId="1" xfId="0" applyFont="1" applyFill="1" applyBorder="1" applyAlignment="1">
      <alignment horizontal="center"/>
    </xf>
    <xf numFmtId="0" fontId="10" fillId="5" borderId="0" xfId="0" applyFont="1" applyFill="1" applyAlignment="1">
      <alignment vertical="center"/>
    </xf>
    <xf numFmtId="10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wrapText="1"/>
    </xf>
    <xf numFmtId="0" fontId="0" fillId="5" borderId="0" xfId="0" applyFill="1" applyAlignment="1">
      <alignment wrapText="1"/>
    </xf>
    <xf numFmtId="0" fontId="5" fillId="5" borderId="1" xfId="0" applyFont="1" applyFill="1" applyBorder="1"/>
    <xf numFmtId="0" fontId="8" fillId="5" borderId="1" xfId="0" applyFont="1" applyFill="1" applyBorder="1"/>
    <xf numFmtId="1" fontId="0" fillId="5" borderId="1" xfId="0" applyNumberFormat="1" applyFill="1" applyBorder="1"/>
    <xf numFmtId="0" fontId="0" fillId="7" borderId="0" xfId="0" applyFill="1"/>
    <xf numFmtId="0" fontId="0" fillId="7" borderId="1" xfId="0" applyFill="1" applyBorder="1"/>
    <xf numFmtId="0" fontId="0" fillId="7" borderId="0" xfId="0" applyFill="1" applyAlignment="1">
      <alignment wrapText="1"/>
    </xf>
    <xf numFmtId="0" fontId="5" fillId="7" borderId="1" xfId="0" applyFont="1" applyFill="1" applyBorder="1"/>
    <xf numFmtId="0" fontId="8" fillId="7" borderId="1" xfId="0" applyFont="1" applyFill="1" applyBorder="1"/>
    <xf numFmtId="1" fontId="0" fillId="7" borderId="1" xfId="0" applyNumberFormat="1" applyFill="1" applyBorder="1"/>
    <xf numFmtId="0" fontId="20" fillId="7" borderId="1" xfId="0" applyFont="1" applyFill="1" applyBorder="1" applyAlignment="1">
      <alignment horizontal="center" wrapText="1"/>
    </xf>
    <xf numFmtId="1" fontId="0" fillId="7" borderId="1" xfId="0" applyNumberFormat="1" applyFill="1" applyBorder="1" applyAlignment="1">
      <alignment horizontal="center" vertical="center"/>
    </xf>
    <xf numFmtId="0" fontId="22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vertical="center"/>
    </xf>
    <xf numFmtId="0" fontId="24" fillId="3" borderId="0" xfId="0" applyFont="1" applyFill="1" applyAlignment="1">
      <alignment indent="1"/>
    </xf>
    <xf numFmtId="0" fontId="14" fillId="3" borderId="0" xfId="0" applyFont="1" applyFill="1" applyAlignment="1">
      <alignment vertical="center" indent="1"/>
    </xf>
    <xf numFmtId="0" fontId="0" fillId="7" borderId="8" xfId="0" applyFill="1" applyBorder="1"/>
    <xf numFmtId="0" fontId="0" fillId="7" borderId="9" xfId="0" applyFill="1" applyBorder="1"/>
    <xf numFmtId="0" fontId="5" fillId="7" borderId="8" xfId="0" applyFont="1" applyFill="1" applyBorder="1"/>
    <xf numFmtId="0" fontId="20" fillId="7" borderId="9" xfId="0" applyFont="1" applyFill="1" applyBorder="1" applyAlignment="1">
      <alignment horizontal="center" wrapText="1"/>
    </xf>
    <xf numFmtId="0" fontId="19" fillId="7" borderId="8" xfId="0" applyFont="1" applyFill="1" applyBorder="1" applyAlignment="1">
      <alignment horizontal="right"/>
    </xf>
    <xf numFmtId="1" fontId="0" fillId="7" borderId="9" xfId="0" applyNumberFormat="1" applyFill="1" applyBorder="1" applyAlignment="1">
      <alignment horizontal="center" vertical="center"/>
    </xf>
    <xf numFmtId="0" fontId="21" fillId="7" borderId="9" xfId="0" applyFont="1" applyFill="1" applyBorder="1" applyAlignment="1">
      <alignment vertical="center"/>
    </xf>
    <xf numFmtId="0" fontId="0" fillId="7" borderId="10" xfId="0" applyFill="1" applyBorder="1"/>
    <xf numFmtId="0" fontId="0" fillId="7" borderId="11" xfId="0" applyFill="1" applyBorder="1"/>
    <xf numFmtId="0" fontId="23" fillId="7" borderId="11" xfId="0" applyFont="1" applyFill="1" applyBorder="1" applyAlignment="1">
      <alignment horizontal="center" vertical="center"/>
    </xf>
    <xf numFmtId="0" fontId="0" fillId="7" borderId="12" xfId="0" applyFill="1" applyBorder="1"/>
    <xf numFmtId="0" fontId="5" fillId="0" borderId="4" xfId="0" applyFont="1" applyBorder="1"/>
    <xf numFmtId="0" fontId="26" fillId="0" borderId="0" xfId="0" applyFont="1"/>
    <xf numFmtId="0" fontId="0" fillId="0" borderId="2" xfId="0" applyBorder="1" applyAlignment="1">
      <alignment wrapText="1"/>
    </xf>
    <xf numFmtId="0" fontId="0" fillId="0" borderId="13" xfId="0" applyBorder="1"/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4" xfId="0" applyNumberFormat="1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wrapText="1"/>
    </xf>
    <xf numFmtId="0" fontId="27" fillId="8" borderId="1" xfId="0" applyFont="1" applyFill="1" applyBorder="1"/>
    <xf numFmtId="0" fontId="28" fillId="8" borderId="1" xfId="0" applyFont="1" applyFill="1" applyBorder="1" applyAlignment="1">
      <alignment wrapText="1"/>
    </xf>
    <xf numFmtId="0" fontId="0" fillId="9" borderId="0" xfId="0" applyFill="1"/>
    <xf numFmtId="0" fontId="16" fillId="4" borderId="1" xfId="0" applyFont="1" applyFill="1" applyBorder="1" applyAlignment="1">
      <alignment horizontal="center" vertical="center"/>
    </xf>
    <xf numFmtId="10" fontId="16" fillId="6" borderId="1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 vertical="top" wrapText="1" indent="3"/>
    </xf>
    <xf numFmtId="0" fontId="18" fillId="7" borderId="5" xfId="0" applyFont="1" applyFill="1" applyBorder="1" applyAlignment="1">
      <alignment horizontal="center" vertic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0" fontId="16" fillId="4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10">
    <dxf>
      <font>
        <color theme="0"/>
      </font>
      <fill>
        <patternFill patternType="solid">
          <bgColor rgb="FF401801"/>
        </patternFill>
      </fill>
    </dxf>
    <dxf>
      <font>
        <color theme="0"/>
      </font>
      <fill>
        <patternFill patternType="solid">
          <bgColor rgb="FF8F4218"/>
        </patternFill>
      </fill>
    </dxf>
    <dxf>
      <font>
        <color theme="1" tint="0.14999847407452621"/>
      </font>
      <fill>
        <patternFill patternType="solid">
          <bgColor rgb="FFF2EEE6"/>
        </patternFill>
      </fill>
    </dxf>
    <dxf>
      <font>
        <color theme="1" tint="0.14999847407452621"/>
      </font>
      <fill>
        <patternFill patternType="solid">
          <bgColor rgb="FFD5BCAA"/>
        </patternFill>
      </fill>
    </dxf>
    <dxf>
      <font>
        <color theme="1" tint="0.249977111117893"/>
      </font>
      <fill>
        <patternFill patternType="solid">
          <bgColor rgb="FFF2EEE6"/>
        </patternFill>
      </fill>
    </dxf>
    <dxf>
      <font>
        <color theme="0"/>
      </font>
      <fill>
        <patternFill patternType="solid">
          <bgColor rgb="FF916140"/>
        </patternFill>
      </fill>
    </dxf>
    <dxf>
      <font>
        <color theme="0"/>
      </font>
      <fill>
        <patternFill patternType="solid">
          <bgColor rgb="FF4018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solid">
          <fgColor rgb="FFDBE9F7"/>
          <bgColor rgb="FFDBE9F7"/>
        </patternFill>
      </fill>
    </dxf>
  </dxfs>
  <tableStyles count="0" defaultTableStyle="TableStyleMedium2" defaultPivotStyle="PivotStyleLight16"/>
  <colors>
    <mruColors>
      <color rgb="FF401801"/>
      <color rgb="FFF3EFE7"/>
      <color rgb="FF4A2108"/>
      <color rgb="FFB77A55"/>
      <color rgb="FFD2C7B9"/>
      <color rgb="FF9A8F84"/>
      <color rgb="FF766E65"/>
      <color rgb="FF8F4218"/>
      <color rgb="FFF0EBE3"/>
      <color rgb="FFD5BC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[Wolf Cola_Manufacturing_Line_Productivity.xlsx]EDA Downtime!PivotTable1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WHERE IS PRODUCTION TIME BEING LOST?</a:t>
            </a:r>
          </a:p>
        </c:rich>
      </c:tx>
      <c:layout>
        <c:manualLayout>
          <c:xMode val="edge"/>
          <c:yMode val="edge"/>
          <c:x val="0.34746684014435669"/>
          <c:y val="1.0412628199280585E-2"/>
        </c:manualLayout>
      </c:layout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75317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7531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7E350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separator>,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3A1808"/>
          </a:solidFill>
          <a:ln>
            <a:noFill/>
          </a:ln>
          <a:effectLst/>
        </c:spPr>
      </c:pivotFmt>
      <c:pivotFmt>
        <c:idx val="7"/>
        <c:spPr>
          <a:solidFill>
            <a:srgbClr val="542108"/>
          </a:solidFill>
          <a:ln>
            <a:noFill/>
          </a:ln>
          <a:effectLst/>
        </c:spPr>
      </c:pivotFmt>
      <c:pivotFmt>
        <c:idx val="8"/>
        <c:spPr>
          <a:solidFill>
            <a:srgbClr val="6B2A0A"/>
          </a:solidFill>
          <a:ln>
            <a:noFill/>
          </a:ln>
          <a:effectLst/>
        </c:spPr>
      </c:pivotFmt>
      <c:pivotFmt>
        <c:idx val="9"/>
        <c:spPr>
          <a:solidFill>
            <a:srgbClr val="7E350E"/>
          </a:solidFill>
          <a:ln>
            <a:noFill/>
          </a:ln>
          <a:effectLst/>
        </c:spPr>
      </c:pivotFmt>
      <c:pivotFmt>
        <c:idx val="10"/>
        <c:spPr>
          <a:solidFill>
            <a:srgbClr val="8F4218"/>
          </a:solidFill>
          <a:ln>
            <a:noFill/>
          </a:ln>
          <a:effectLst/>
        </c:spPr>
      </c:pivotFmt>
      <c:pivotFmt>
        <c:idx val="11"/>
        <c:spPr>
          <a:solidFill>
            <a:srgbClr val="9E4D22"/>
          </a:solidFill>
          <a:ln>
            <a:noFill/>
          </a:ln>
          <a:effectLst/>
        </c:spPr>
      </c:pivotFmt>
      <c:pivotFmt>
        <c:idx val="12"/>
        <c:spPr>
          <a:solidFill>
            <a:srgbClr val="B36238"/>
          </a:solidFill>
          <a:ln>
            <a:noFill/>
          </a:ln>
          <a:effectLst/>
        </c:spPr>
      </c:pivotFmt>
      <c:pivotFmt>
        <c:idx val="13"/>
        <c:spPr>
          <a:solidFill>
            <a:srgbClr val="B36238"/>
          </a:solidFill>
          <a:ln>
            <a:noFill/>
          </a:ln>
          <a:effectLst/>
        </c:spPr>
      </c:pivotFmt>
      <c:pivotFmt>
        <c:idx val="14"/>
        <c:spPr>
          <a:solidFill>
            <a:srgbClr val="B36238"/>
          </a:solidFill>
          <a:ln>
            <a:noFill/>
          </a:ln>
          <a:effectLst/>
        </c:spPr>
      </c:pivotFmt>
      <c:pivotFmt>
        <c:idx val="15"/>
        <c:spPr>
          <a:solidFill>
            <a:srgbClr val="B36238"/>
          </a:solidFill>
          <a:ln>
            <a:noFill/>
          </a:ln>
          <a:effectLst/>
        </c:spPr>
      </c:pivotFmt>
      <c:pivotFmt>
        <c:idx val="16"/>
        <c:spPr>
          <a:solidFill>
            <a:srgbClr val="B3623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Downtime'!$B$3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E350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A18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13-46CA-AFAE-E64D94172326}"/>
              </c:ext>
            </c:extLst>
          </c:dPt>
          <c:dPt>
            <c:idx val="1"/>
            <c:invertIfNegative val="0"/>
            <c:bubble3D val="0"/>
            <c:spPr>
              <a:solidFill>
                <a:srgbClr val="5421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713-46CA-AFAE-E64D94172326}"/>
              </c:ext>
            </c:extLst>
          </c:dPt>
          <c:dPt>
            <c:idx val="2"/>
            <c:invertIfNegative val="0"/>
            <c:bubble3D val="0"/>
            <c:spPr>
              <a:solidFill>
                <a:srgbClr val="6B2A0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13-46CA-AFAE-E64D94172326}"/>
              </c:ext>
            </c:extLst>
          </c:dPt>
          <c:dPt>
            <c:idx val="4"/>
            <c:invertIfNegative val="0"/>
            <c:bubble3D val="0"/>
            <c:spPr>
              <a:solidFill>
                <a:srgbClr val="8F42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13-46CA-AFAE-E64D94172326}"/>
              </c:ext>
            </c:extLst>
          </c:dPt>
          <c:dPt>
            <c:idx val="5"/>
            <c:invertIfNegative val="0"/>
            <c:bubble3D val="0"/>
            <c:spPr>
              <a:solidFill>
                <a:srgbClr val="9E4D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713-46CA-AFAE-E64D94172326}"/>
              </c:ext>
            </c:extLst>
          </c:dPt>
          <c:dPt>
            <c:idx val="6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13-46CA-AFAE-E64D94172326}"/>
              </c:ext>
            </c:extLst>
          </c:dPt>
          <c:dPt>
            <c:idx val="7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713-46CA-AFAE-E64D94172326}"/>
              </c:ext>
            </c:extLst>
          </c:dPt>
          <c:dPt>
            <c:idx val="8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13-46CA-AFAE-E64D94172326}"/>
              </c:ext>
            </c:extLst>
          </c:dPt>
          <c:dPt>
            <c:idx val="9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13-46CA-AFAE-E64D94172326}"/>
              </c:ext>
            </c:extLst>
          </c:dPt>
          <c:dPt>
            <c:idx val="10"/>
            <c:invertIfNegative val="0"/>
            <c:bubble3D val="0"/>
            <c:spPr>
              <a:solidFill>
                <a:srgbClr val="B362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713-46CA-AFAE-E64D9417232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Downtime'!$A$4:$A$15</c:f>
              <c:strCache>
                <c:ptCount val="11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</c:strCache>
            </c:strRef>
          </c:cat>
          <c:val>
            <c:numRef>
              <c:f>'EDA Downtime'!$B$4:$B$15</c:f>
              <c:numCache>
                <c:formatCode>0</c:formatCode>
                <c:ptCount val="11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62-41BF-9DA8-CCD9FFC56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axId val="1734334472"/>
        <c:axId val="1872973832"/>
      </c:barChart>
      <c:catAx>
        <c:axId val="17343344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973832"/>
        <c:crosses val="autoZero"/>
        <c:auto val="1"/>
        <c:lblAlgn val="ctr"/>
        <c:lblOffset val="100"/>
        <c:noMultiLvlLbl val="0"/>
      </c:catAx>
      <c:valAx>
        <c:axId val="1872973832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1" u="none" strike="noStrike" kern="1200" baseline="0">
                    <a:solidFill>
                      <a:srgbClr val="6F625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minutes by factor</a:t>
                </a:r>
              </a:p>
            </c:rich>
          </c:tx>
          <c:layout>
            <c:manualLayout>
              <c:xMode val="edge"/>
              <c:yMode val="edge"/>
              <c:x val="0.43901416531872428"/>
              <c:y val="0.142978815325483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1" u="none" strike="noStrike" kern="1200" baseline="0">
                  <a:solidFill>
                    <a:srgbClr val="6F625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\(#,##0\)" sourceLinked="0"/>
        <c:majorTickMark val="none"/>
        <c:minorTickMark val="none"/>
        <c:tickLblPos val="nextTo"/>
        <c:crossAx val="173433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WHO IS MOST AFFECTED BY DOWNTIME?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Summary'!$B$11</c:f>
              <c:strCache>
                <c:ptCount val="1"/>
                <c:pt idx="0">
                  <c:v>Downtime %</c:v>
                </c:pt>
              </c:strCache>
            </c:strRef>
          </c:tx>
          <c:spPr>
            <a:solidFill>
              <a:srgbClr val="8F4218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F421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D14-442A-9F21-9A279D9DA7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Summary'!$A$12:$A$15</c:f>
              <c:strCache>
                <c:ptCount val="4"/>
                <c:pt idx="0">
                  <c:v>Mac</c:v>
                </c:pt>
                <c:pt idx="1">
                  <c:v>Dennis</c:v>
                </c:pt>
                <c:pt idx="2">
                  <c:v>Dee</c:v>
                </c:pt>
                <c:pt idx="3">
                  <c:v>Charlie</c:v>
                </c:pt>
              </c:strCache>
            </c:strRef>
          </c:cat>
          <c:val>
            <c:numRef>
              <c:f>'EDA Summary'!$B$12:$B$15</c:f>
              <c:numCache>
                <c:formatCode>0.00%</c:formatCode>
                <c:ptCount val="4"/>
                <c:pt idx="0">
                  <c:v>0.3906</c:v>
                </c:pt>
                <c:pt idx="1">
                  <c:v>0.36830000000000002</c:v>
                </c:pt>
                <c:pt idx="2">
                  <c:v>0.35920000000000002</c:v>
                </c:pt>
                <c:pt idx="3">
                  <c:v>0.33160000000000001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D-41A9-AD12-2257B6D6C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99192840"/>
        <c:axId val="1704823816"/>
      </c:barChart>
      <c:catAx>
        <c:axId val="1699192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23816"/>
        <c:crosses val="autoZero"/>
        <c:auto val="1"/>
        <c:lblAlgn val="ctr"/>
        <c:lblOffset val="100"/>
        <c:noMultiLvlLbl val="0"/>
      </c:catAx>
      <c:valAx>
        <c:axId val="1704823816"/>
        <c:scaling>
          <c:orientation val="minMax"/>
        </c:scaling>
        <c:delete val="1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 as a share of actual production time</a:t>
                </a:r>
              </a:p>
            </c:rich>
          </c:tx>
          <c:layout>
            <c:manualLayout>
              <c:xMode val="edge"/>
              <c:yMode val="edge"/>
              <c:x val="0.22449612403100774"/>
              <c:y val="0.22488934265989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699192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 EFFICIENCY ACROSS THE PRODUCTION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Summary'!$C$17</c:f>
              <c:strCache>
                <c:ptCount val="1"/>
                <c:pt idx="0">
                  <c:v>Efficiency%</c:v>
                </c:pt>
              </c:strCache>
            </c:strRef>
          </c:tx>
          <c:spPr>
            <a:ln w="76200" cap="rnd">
              <a:solidFill>
                <a:srgbClr val="7E350E"/>
              </a:solidFill>
              <a:prstDash val="solid"/>
              <a:round/>
            </a:ln>
            <a:effectLst/>
          </c:spPr>
          <c:marker>
            <c:symbol val="x"/>
            <c:size val="6"/>
            <c:spPr>
              <a:solidFill>
                <a:srgbClr val="7E350E"/>
              </a:solidFill>
              <a:ln w="25400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5.0821194741048195E-2"/>
                  <c:y val="3.4770105944354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63-4692-AF00-84E38E6BD9B6}"/>
                </c:ext>
              </c:extLst>
            </c:dLbl>
            <c:dLbl>
              <c:idx val="1"/>
              <c:layout>
                <c:manualLayout>
                  <c:x val="-3.818840474687614E-2"/>
                  <c:y val="5.1671433507370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63-4692-AF00-84E38E6BD9B6}"/>
                </c:ext>
              </c:extLst>
            </c:dLbl>
            <c:dLbl>
              <c:idx val="2"/>
              <c:layout>
                <c:manualLayout>
                  <c:x val="-3.8672388432966109E-2"/>
                  <c:y val="-3.73762850874667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63-4692-AF00-84E38E6BD9B6}"/>
                </c:ext>
              </c:extLst>
            </c:dLbl>
            <c:dLbl>
              <c:idx val="3"/>
              <c:layout>
                <c:manualLayout>
                  <c:x val="-4.1431278232313913E-2"/>
                  <c:y val="2.94839545022648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263-4692-AF00-84E38E6BD9B6}"/>
                </c:ext>
              </c:extLst>
            </c:dLbl>
            <c:dLbl>
              <c:idx val="4"/>
              <c:layout>
                <c:manualLayout>
                  <c:x val="-1.4036379910238803E-2"/>
                  <c:y val="-3.20154638391942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63-4692-AF00-84E38E6BD9B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40404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'EDA Summary'!$B$18:$B$22</c:f>
              <c:strCache>
                <c:ptCount val="5"/>
                <c:pt idx="0">
                  <c:v>8/29/2024</c:v>
                </c:pt>
                <c:pt idx="1">
                  <c:v>8/30/2024</c:v>
                </c:pt>
                <c:pt idx="2">
                  <c:v>8/31/2024</c:v>
                </c:pt>
                <c:pt idx="3">
                  <c:v>9/2/2024</c:v>
                </c:pt>
                <c:pt idx="4">
                  <c:v>9/3/2024</c:v>
                </c:pt>
              </c:strCache>
            </c:strRef>
          </c:cat>
          <c:val>
            <c:numRef>
              <c:f>'EDA Summary'!$C$18:$C$22</c:f>
              <c:numCache>
                <c:formatCode>0.00%</c:formatCode>
                <c:ptCount val="5"/>
                <c:pt idx="0">
                  <c:v>0.63253012048192792</c:v>
                </c:pt>
                <c:pt idx="1">
                  <c:v>0.61855670103092786</c:v>
                </c:pt>
                <c:pt idx="2">
                  <c:v>0.71794871794871795</c:v>
                </c:pt>
                <c:pt idx="3">
                  <c:v>0.61749049429657799</c:v>
                </c:pt>
                <c:pt idx="4">
                  <c:v>0.75384615384615472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3B-4471-9DB0-A4D6F643B0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915848"/>
        <c:axId val="1699178504"/>
      </c:lineChart>
      <c:catAx>
        <c:axId val="1698915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line efficiency</a:t>
                </a:r>
              </a:p>
            </c:rich>
          </c:tx>
          <c:layout>
            <c:manualLayout>
              <c:xMode val="edge"/>
              <c:yMode val="edge"/>
              <c:x val="0.41028952944851027"/>
              <c:y val="0.115409291578070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9178504"/>
        <c:crosses val="autoZero"/>
        <c:auto val="1"/>
        <c:lblAlgn val="ctr"/>
        <c:lblOffset val="100"/>
        <c:noMultiLvlLbl val="1"/>
      </c:catAx>
      <c:valAx>
        <c:axId val="1699178504"/>
        <c:scaling>
          <c:orientation val="minMax"/>
          <c:min val="0.55000000000000004"/>
        </c:scaling>
        <c:delete val="1"/>
        <c:axPos val="l"/>
        <c:numFmt formatCode="0.00%" sourceLinked="1"/>
        <c:majorTickMark val="none"/>
        <c:minorTickMark val="none"/>
        <c:tickLblPos val="nextTo"/>
        <c:crossAx val="1698915848"/>
        <c:crosses val="autoZero"/>
        <c:crossBetween val="between"/>
        <c:majorUnit val="0.0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332B25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PRODUCTS HAVE THE HIGHEST DOWNTIME RATE?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332B2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'EDA Summary'!$B$34</c:f>
              <c:strCache>
                <c:ptCount val="1"/>
                <c:pt idx="0">
                  <c:v>Downtime%</c:v>
                </c:pt>
              </c:strCache>
            </c:strRef>
          </c:tx>
          <c:spPr>
            <a:solidFill>
              <a:srgbClr val="8F4218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4A210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8D-4ABD-9335-7E50C0C914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'EDA Summary'!$A$35:$A$40</c:f>
              <c:strCache>
                <c:ptCount val="6"/>
                <c:pt idx="0">
                  <c:v>LE-600</c:v>
                </c:pt>
                <c:pt idx="1">
                  <c:v>DC-600</c:v>
                </c:pt>
                <c:pt idx="2">
                  <c:v>CO-600</c:v>
                </c:pt>
                <c:pt idx="3">
                  <c:v>CO-2L</c:v>
                </c:pt>
                <c:pt idx="4">
                  <c:v>RB-600</c:v>
                </c:pt>
                <c:pt idx="5">
                  <c:v>OR-600</c:v>
                </c:pt>
              </c:strCache>
            </c:strRef>
          </c:cat>
          <c:val>
            <c:numRef>
              <c:f>'EDA Summary'!$B$35:$B$40</c:f>
              <c:numCache>
                <c:formatCode>0.00%</c:formatCode>
                <c:ptCount val="6"/>
                <c:pt idx="0">
                  <c:v>0.3194706994328923</c:v>
                </c:pt>
                <c:pt idx="1">
                  <c:v>0.32394366197183105</c:v>
                </c:pt>
                <c:pt idx="2">
                  <c:v>0.35437589670014347</c:v>
                </c:pt>
                <c:pt idx="3">
                  <c:v>0.3611473272490221</c:v>
                </c:pt>
                <c:pt idx="4">
                  <c:v>0.38053097345132747</c:v>
                </c:pt>
                <c:pt idx="5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D-4ABD-9335-7E50C0C91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853999112"/>
        <c:axId val="1854001160"/>
      </c:barChart>
      <c:catAx>
        <c:axId val="185399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4001160"/>
        <c:crosses val="autoZero"/>
        <c:auto val="1"/>
        <c:lblAlgn val="ctr"/>
        <c:lblOffset val="100"/>
        <c:noMultiLvlLbl val="0"/>
      </c:catAx>
      <c:valAx>
        <c:axId val="1854001160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185399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3EFE7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9</xdr:row>
      <xdr:rowOff>19050</xdr:rowOff>
    </xdr:from>
    <xdr:to>
      <xdr:col>14</xdr:col>
      <xdr:colOff>647700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7E1B1-7A70-3B41-45C4-099037164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1</xdr:row>
      <xdr:rowOff>66675</xdr:rowOff>
    </xdr:from>
    <xdr:to>
      <xdr:col>3</xdr:col>
      <xdr:colOff>361950</xdr:colOff>
      <xdr:row>1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39DBD2-83F5-39F3-6422-CFE6251F8D9C}"/>
            </a:ext>
            <a:ext uri="{147F2762-F138-4A5C-976F-8EAC2B608ADB}">
              <a16:predDERef xmlns:a16="http://schemas.microsoft.com/office/drawing/2014/main" pred="{1867E1B1-7A70-3B41-45C4-099037164DFE}"/>
            </a:ext>
          </a:extLst>
        </xdr:cNvPr>
        <xdr:cNvSpPr txBox="1"/>
      </xdr:nvSpPr>
      <xdr:spPr>
        <a:xfrm>
          <a:off x="1962150" y="666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latin typeface="+mn-lt"/>
              <a:ea typeface="+mn-lt"/>
              <a:cs typeface="+mn-lt"/>
            </a:rPr>
            <a:t>80.4%</a:t>
          </a:r>
          <a:r>
            <a:rPr lang="en-US" sz="1200">
              <a:latin typeface="+mn-lt"/>
              <a:ea typeface="+mn-lt"/>
              <a:cs typeface="+mn-lt"/>
            </a:rPr>
            <a:t> </a:t>
          </a:r>
        </a:p>
        <a:p>
          <a:pPr marL="0" indent="0" algn="ctr"/>
          <a:r>
            <a:rPr lang="en-US" sz="1200">
              <a:latin typeface="+mn-lt"/>
              <a:ea typeface="+mn-lt"/>
              <a:cs typeface="+mn-lt"/>
            </a:rPr>
            <a:t>of downtime comes from the top five factors</a:t>
          </a:r>
          <a:endParaRPr lang="en-US" sz="1200" i="1">
            <a:latin typeface="+mn-lt"/>
            <a:ea typeface="+mn-lt"/>
            <a:cs typeface="+mn-lt"/>
          </a:endParaRPr>
        </a:p>
        <a:p>
          <a:pPr marL="0" indent="0" algn="ctr"/>
          <a:endParaRPr lang="en-US" sz="1200" i="1"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i="1">
              <a:latin typeface="+mn-lt"/>
              <a:ea typeface="+mn-lt"/>
              <a:cs typeface="+mn-lt"/>
            </a:rPr>
            <a:t>Machine adjustment is the largest contributor at 332 minutes.</a:t>
          </a:r>
        </a:p>
      </xdr:txBody>
    </xdr:sp>
    <xdr:clientData/>
  </xdr:twoCellAnchor>
  <xdr:twoCellAnchor>
    <xdr:from>
      <xdr:col>1</xdr:col>
      <xdr:colOff>685800</xdr:colOff>
      <xdr:row>28</xdr:row>
      <xdr:rowOff>171450</xdr:rowOff>
    </xdr:from>
    <xdr:to>
      <xdr:col>6</xdr:col>
      <xdr:colOff>647700</xdr:colOff>
      <xdr:row>44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995276-16B8-E4A1-0F4A-7DDC2DB3BE6C}"/>
            </a:ext>
            <a:ext uri="{147F2762-F138-4A5C-976F-8EAC2B608ADB}">
              <a16:predDERef xmlns:a16="http://schemas.microsoft.com/office/drawing/2014/main" pred="{3039DBD2-83F5-39F3-6422-CFE6251F8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676275</xdr:colOff>
      <xdr:row>47</xdr:row>
      <xdr:rowOff>180975</xdr:rowOff>
    </xdr:from>
    <xdr:to>
      <xdr:col>10</xdr:col>
      <xdr:colOff>638175</xdr:colOff>
      <xdr:row>70</xdr:row>
      <xdr:rowOff>76200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6D3F63E9-39F0-C6C0-6A50-901A825902D9}"/>
            </a:ext>
            <a:ext uri="{147F2762-F138-4A5C-976F-8EAC2B608ADB}">
              <a16:predDERef xmlns:a16="http://schemas.microsoft.com/office/drawing/2014/main" pred="{8E995276-16B8-E4A1-0F4A-7DDC2DB3BE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48</xdr:row>
      <xdr:rowOff>9525</xdr:rowOff>
    </xdr:from>
    <xdr:to>
      <xdr:col>19</xdr:col>
      <xdr:colOff>0</xdr:colOff>
      <xdr:row>70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61ECBD-59C5-0F29-6BF6-2780B307C830}"/>
            </a:ext>
            <a:ext uri="{147F2762-F138-4A5C-976F-8EAC2B608ADB}">
              <a16:predDERef xmlns:a16="http://schemas.microsoft.com/office/drawing/2014/main" pred="{6D3F63E9-39F0-C6C0-6A50-901A82590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723900</xdr:colOff>
      <xdr:row>62</xdr:row>
      <xdr:rowOff>133350</xdr:rowOff>
    </xdr:from>
    <xdr:to>
      <xdr:col>18</xdr:col>
      <xdr:colOff>752475</xdr:colOff>
      <xdr:row>69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B108213-696D-C9D4-AD59-CEE3CF336137}"/>
            </a:ext>
            <a:ext uri="{147F2762-F138-4A5C-976F-8EAC2B608ADB}">
              <a16:predDERef xmlns:a16="http://schemas.microsoft.com/office/drawing/2014/main" pred="{A561ECBD-59C5-0F29-6BF6-2780B307C830}"/>
            </a:ext>
          </a:extLst>
        </xdr:cNvPr>
        <xdr:cNvSpPr txBox="1"/>
      </xdr:nvSpPr>
      <xdr:spPr>
        <a:xfrm>
          <a:off x="12153900" y="12925425"/>
          <a:ext cx="1704975" cy="1333500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401801"/>
              </a:solidFill>
              <a:latin typeface="Aptos Narrow" panose="020B0004020202020204" pitchFamily="34" charset="0"/>
            </a:rPr>
            <a:t>DATA CAUTION:</a:t>
          </a:r>
          <a:endParaRPr lang="en-US" sz="1100" b="1" i="0" u="none" strike="noStrike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1" i="0" u="none" strike="noStrike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>
              <a:solidFill>
                <a:srgbClr val="8F4218"/>
              </a:solidFill>
              <a:latin typeface="+mn-lt"/>
              <a:ea typeface="+mn-lt"/>
              <a:cs typeface="+mn-lt"/>
            </a:rPr>
            <a:t>OR-600 shows the highest downtime rate at 55.56%</a:t>
          </a: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1">
              <a:solidFill>
                <a:srgbClr val="766E65"/>
              </a:solidFill>
              <a:latin typeface="+mn-lt"/>
              <a:ea typeface="+mn-lt"/>
              <a:cs typeface="+mn-lt"/>
            </a:rPr>
            <a:t> However, this is based on only one recorded batch.</a:t>
          </a:r>
        </a:p>
      </xdr:txBody>
    </xdr:sp>
    <xdr:clientData/>
  </xdr:twoCellAnchor>
  <xdr:twoCellAnchor>
    <xdr:from>
      <xdr:col>15</xdr:col>
      <xdr:colOff>561975</xdr:colOff>
      <xdr:row>12</xdr:row>
      <xdr:rowOff>114300</xdr:rowOff>
    </xdr:from>
    <xdr:to>
      <xdr:col>19</xdr:col>
      <xdr:colOff>152400</xdr:colOff>
      <xdr:row>22</xdr:row>
      <xdr:rowOff>104775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04554CA-0852-A05D-B596-2C7C0CC1C4E3}"/>
            </a:ext>
            <a:ext uri="{147F2762-F138-4A5C-976F-8EAC2B608ADB}">
              <a16:predDERef xmlns:a16="http://schemas.microsoft.com/office/drawing/2014/main" pred="{AB108213-696D-C9D4-AD59-CEE3CF336137}"/>
            </a:ext>
          </a:extLst>
        </xdr:cNvPr>
        <xdr:cNvSpPr txBox="1"/>
      </xdr:nvSpPr>
      <xdr:spPr>
        <a:xfrm>
          <a:off x="11277600" y="3524250"/>
          <a:ext cx="2819400" cy="1895475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200" b="1">
              <a:solidFill>
                <a:srgbClr val="4A2108"/>
              </a:solidFill>
              <a:latin typeface="+mn-lt"/>
              <a:ea typeface="+mn-lt"/>
              <a:cs typeface="+mn-lt"/>
            </a:rPr>
            <a:t>KEY INSIGHT:</a:t>
          </a:r>
          <a:endParaRPr lang="en-US" sz="1200" b="1" i="0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 b="1" i="0">
            <a:solidFill>
              <a:srgbClr val="8F4218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1" i="0">
              <a:solidFill>
                <a:srgbClr val="8F4218"/>
              </a:solidFill>
              <a:latin typeface="+mn-lt"/>
              <a:ea typeface="+mn-lt"/>
              <a:cs typeface="+mn-lt"/>
            </a:rPr>
            <a:t>80.4% </a:t>
          </a:r>
          <a:r>
            <a:rPr lang="en-US" sz="1200" b="1" i="0" u="none">
              <a:solidFill>
                <a:srgbClr val="8F4218"/>
              </a:solidFill>
              <a:latin typeface="+mn-lt"/>
              <a:ea typeface="+mn-lt"/>
              <a:cs typeface="+mn-lt"/>
            </a:rPr>
            <a:t>of downtime comes from five factors</a:t>
          </a:r>
          <a:endParaRPr lang="en-US" sz="1200" b="1" i="1" u="none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endParaRPr lang="en-US" sz="1200" b="1" i="1" u="none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1" i="1" u="none">
              <a:solidFill>
                <a:srgbClr val="766E65"/>
              </a:solidFill>
              <a:latin typeface="+mn-lt"/>
              <a:ea typeface="+mn-lt"/>
              <a:cs typeface="+mn-lt"/>
            </a:rPr>
            <a:t>Primary driver</a:t>
          </a:r>
          <a:endParaRPr lang="en-US" sz="12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200" b="0" i="1">
              <a:solidFill>
                <a:srgbClr val="766E65"/>
              </a:solidFill>
              <a:latin typeface="+mn-lt"/>
              <a:ea typeface="+mn-lt"/>
              <a:cs typeface="+mn-lt"/>
            </a:rPr>
            <a:t>Machine adjustment accounts for 332 minutes, followed by machine failure and inventory shortage.</a:t>
          </a:r>
        </a:p>
      </xdr:txBody>
    </xdr:sp>
    <xdr:clientData/>
  </xdr:twoCellAnchor>
  <xdr:twoCellAnchor>
    <xdr:from>
      <xdr:col>9</xdr:col>
      <xdr:colOff>361950</xdr:colOff>
      <xdr:row>40</xdr:row>
      <xdr:rowOff>76200</xdr:rowOff>
    </xdr:from>
    <xdr:to>
      <xdr:col>17</xdr:col>
      <xdr:colOff>381000</xdr:colOff>
      <xdr:row>44</xdr:row>
      <xdr:rowOff>76200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6DF055D-BC99-EAF1-4D29-B97EBD53AB6A}"/>
            </a:ext>
            <a:ext uri="{147F2762-F138-4A5C-976F-8EAC2B608ADB}">
              <a16:predDERef xmlns:a16="http://schemas.microsoft.com/office/drawing/2014/main" pred="{904554CA-0852-A05D-B596-2C7C0CC1C4E3}"/>
            </a:ext>
          </a:extLst>
        </xdr:cNvPr>
        <xdr:cNvSpPr txBox="1"/>
      </xdr:nvSpPr>
      <xdr:spPr>
        <a:xfrm>
          <a:off x="6791325" y="9058275"/>
          <a:ext cx="5857875" cy="571500"/>
        </a:xfrm>
        <a:prstGeom prst="rect">
          <a:avLst/>
        </a:prstGeom>
        <a:solidFill>
          <a:srgbClr val="F0EBE3"/>
        </a:solidFill>
        <a:ln w="9525" cmpd="sng">
          <a:solidFill>
            <a:srgbClr val="F3EFE7"/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401801"/>
              </a:solidFill>
              <a:latin typeface="Aptos Narrow" panose="020B0004020202020204" pitchFamily="34" charset="0"/>
            </a:rPr>
            <a:t>OPERATIONAL TAKEAWAY: </a:t>
          </a:r>
          <a:endParaRPr lang="en-US" sz="1100" b="1" i="0" u="none" strike="noStrike">
            <a:solidFill>
              <a:srgbClr val="6B2A0A"/>
            </a:solidFill>
            <a:latin typeface="+mn-lt"/>
            <a:ea typeface="+mn-lt"/>
            <a:cs typeface="+mn-lt"/>
          </a:endParaRPr>
        </a:p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>
              <a:solidFill>
                <a:srgbClr val="6B2A0A"/>
              </a:solidFill>
              <a:latin typeface="+mn-lt"/>
              <a:ea typeface="+mn-lt"/>
              <a:cs typeface="+mn-lt"/>
            </a:rPr>
            <a:t>Different operators show distinct downtime patterns.</a:t>
          </a:r>
          <a:endParaRPr lang="en-US" sz="1100" b="0" i="1">
            <a:solidFill>
              <a:srgbClr val="766E65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100" b="0" i="1">
              <a:solidFill>
                <a:srgbClr val="766E65"/>
              </a:solidFill>
              <a:latin typeface="+mn-lt"/>
              <a:ea typeface="+mn-lt"/>
              <a:cs typeface="+mn-lt"/>
            </a:rPr>
            <a:t>Interventions may need to be targeted rather than applying a single solution across the line.</a:t>
          </a:r>
        </a:p>
      </xdr:txBody>
    </xdr:sp>
    <xdr:clientData/>
  </xdr:twoCellAnchor>
  <xdr:twoCellAnchor>
    <xdr:from>
      <xdr:col>12</xdr:col>
      <xdr:colOff>238125</xdr:colOff>
      <xdr:row>38</xdr:row>
      <xdr:rowOff>19050</xdr:rowOff>
    </xdr:from>
    <xdr:to>
      <xdr:col>12</xdr:col>
      <xdr:colOff>504825</xdr:colOff>
      <xdr:row>38</xdr:row>
      <xdr:rowOff>228600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21F7C00-96B8-7DB9-CC2B-9ED101B026F5}"/>
            </a:ext>
            <a:ext uri="{147F2762-F138-4A5C-976F-8EAC2B608ADB}">
              <a16:predDERef xmlns:a16="http://schemas.microsoft.com/office/drawing/2014/main" pred="{06DF055D-BC99-EAF1-4D29-B97EBD53AB6A}"/>
            </a:ext>
          </a:extLst>
        </xdr:cNvPr>
        <xdr:cNvSpPr/>
      </xdr:nvSpPr>
      <xdr:spPr>
        <a:xfrm>
          <a:off x="8810625" y="8553450"/>
          <a:ext cx="266700" cy="209550"/>
        </a:xfrm>
        <a:prstGeom prst="rect">
          <a:avLst/>
        </a:prstGeom>
        <a:solidFill>
          <a:srgbClr val="F3EF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13</xdr:col>
      <xdr:colOff>219075</xdr:colOff>
      <xdr:row>38</xdr:row>
      <xdr:rowOff>19050</xdr:rowOff>
    </xdr:from>
    <xdr:to>
      <xdr:col>13</xdr:col>
      <xdr:colOff>466725</xdr:colOff>
      <xdr:row>38</xdr:row>
      <xdr:rowOff>238125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AE55D6B-F723-4412-BF88-B1FB8A52DC85}"/>
            </a:ext>
            <a:ext uri="{147F2762-F138-4A5C-976F-8EAC2B608ADB}">
              <a16:predDERef xmlns:a16="http://schemas.microsoft.com/office/drawing/2014/main" pred="{D21F7C00-96B8-7DB9-CC2B-9ED101B026F5}"/>
            </a:ext>
          </a:extLst>
        </xdr:cNvPr>
        <xdr:cNvSpPr/>
      </xdr:nvSpPr>
      <xdr:spPr>
        <a:xfrm>
          <a:off x="9505950" y="8553450"/>
          <a:ext cx="247650" cy="219075"/>
        </a:xfrm>
        <a:prstGeom prst="rect">
          <a:avLst/>
        </a:prstGeom>
        <a:solidFill>
          <a:srgbClr val="D5BCAA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14</xdr:col>
      <xdr:colOff>247650</xdr:colOff>
      <xdr:row>38</xdr:row>
      <xdr:rowOff>19050</xdr:rowOff>
    </xdr:from>
    <xdr:to>
      <xdr:col>14</xdr:col>
      <xdr:colOff>495300</xdr:colOff>
      <xdr:row>38</xdr:row>
      <xdr:rowOff>238125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A447211-ECBE-4DDA-938D-9DF9B7A6D24E}"/>
            </a:ext>
            <a:ext uri="{147F2762-F138-4A5C-976F-8EAC2B608ADB}">
              <a16:predDERef xmlns:a16="http://schemas.microsoft.com/office/drawing/2014/main" pred="{5AE55D6B-F723-4412-BF88-B1FB8A52DC85}"/>
            </a:ext>
          </a:extLst>
        </xdr:cNvPr>
        <xdr:cNvSpPr/>
      </xdr:nvSpPr>
      <xdr:spPr>
        <a:xfrm>
          <a:off x="10248900" y="8553450"/>
          <a:ext cx="247650" cy="219075"/>
        </a:xfrm>
        <a:prstGeom prst="rect">
          <a:avLst/>
        </a:prstGeom>
        <a:solidFill>
          <a:srgbClr val="8F421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15</xdr:col>
      <xdr:colOff>238125</xdr:colOff>
      <xdr:row>38</xdr:row>
      <xdr:rowOff>19050</xdr:rowOff>
    </xdr:from>
    <xdr:to>
      <xdr:col>15</xdr:col>
      <xdr:colOff>485775</xdr:colOff>
      <xdr:row>38</xdr:row>
      <xdr:rowOff>238125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601248AD-F10C-4C2F-96E7-BDBD9202C990}"/>
            </a:ext>
            <a:ext uri="{147F2762-F138-4A5C-976F-8EAC2B608ADB}">
              <a16:predDERef xmlns:a16="http://schemas.microsoft.com/office/drawing/2014/main" pred="{5A447211-ECBE-4DDA-938D-9DF9B7A6D24E}"/>
            </a:ext>
          </a:extLst>
        </xdr:cNvPr>
        <xdr:cNvSpPr/>
      </xdr:nvSpPr>
      <xdr:spPr>
        <a:xfrm>
          <a:off x="10953750" y="8553450"/>
          <a:ext cx="247650" cy="219075"/>
        </a:xfrm>
        <a:prstGeom prst="rect">
          <a:avLst/>
        </a:prstGeom>
        <a:solidFill>
          <a:srgbClr val="4A210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672324074076" createdVersion="8" refreshedVersion="8" minRefreshableVersion="3" recordCount="61" xr:uid="{215DE15A-A96D-4CE5-BDAC-4259A3667B1E}">
  <cacheSource type="worksheet">
    <worksheetSource ref="A1:E62" sheet="Fact Downtime"/>
  </cacheSource>
  <cacheFields count="5">
    <cacheField name="Batch" numFmtId="0">
      <sharedItems containsSemiMixedTypes="0" containsString="0" containsNumber="1" containsInteger="1" minValue="422111" maxValue="422148"/>
    </cacheField>
    <cacheField name="Downtime Factor" numFmtId="1">
      <sharedItems containsSemiMixedTypes="0" containsString="0" containsNumber="1" containsInteger="1" minValue="2" maxValue="12"/>
    </cacheField>
    <cacheField name="Downtime Minutes" numFmtId="1">
      <sharedItems containsSemiMixedTypes="0" containsString="0" containsNumber="1" containsInteger="1" minValue="5" maxValue="60"/>
    </cacheField>
    <cacheField name="Factor Description" numFmtId="0">
      <sharedItems count="11">
        <s v="Batch change"/>
        <s v="Labeling error"/>
        <s v="Inventory shortage"/>
        <s v="Product spill"/>
        <s v="Machine adjustment"/>
        <s v="Machine failure"/>
        <s v="Batch coding error"/>
        <s v="Conveyor belt jam"/>
        <s v="Calibration error"/>
        <s v="Label switch"/>
        <s v="Other"/>
      </sharedItems>
    </cacheField>
    <cacheField name="Operator Error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708270370371" createdVersion="8" refreshedVersion="8" minRefreshableVersion="3" recordCount="38" xr:uid="{28A11342-B259-454A-B7F1-CDA80AFB8250}">
  <cacheSource type="worksheet">
    <worksheetSource ref="A1:M39" sheet="Production Analysis"/>
  </cacheSource>
  <cacheFields count="13">
    <cacheField name="Batch" numFmtId="0">
      <sharedItems containsSemiMixedTypes="0" containsString="0" containsNumber="1" containsInteger="1" minValue="422111" maxValue="422148"/>
    </cacheField>
    <cacheField name="Date" numFmtId="14">
      <sharedItems containsSemiMixedTypes="0" containsNonDate="0" containsDate="1" containsString="0" minDate="2024-08-29T00:00:00" maxDate="2024-09-04T00:00:00" count="5">
        <d v="2024-08-29T00:00:00"/>
        <d v="2024-08-30T00:00:00"/>
        <d v="2024-08-31T00:00:00"/>
        <d v="2024-09-02T00:00:00"/>
        <d v="2024-09-03T00:00:00"/>
      </sharedItems>
    </cacheField>
    <cacheField name="Product" numFmtId="0">
      <sharedItems count="6">
        <s v="OR-600"/>
        <s v="LE-600"/>
        <s v="CO-600"/>
        <s v="DC-600"/>
        <s v="RB-600"/>
        <s v="CO-2L"/>
      </sharedItems>
    </cacheField>
    <cacheField name="Operator" numFmtId="0">
      <sharedItems count="4">
        <s v="Mac"/>
        <s v="Charlie"/>
        <s v="Dee"/>
        <s v="Dennis"/>
      </sharedItems>
    </cacheField>
    <cacheField name="Start Time" numFmtId="165">
      <sharedItems containsSemiMixedTypes="0" containsNonDate="0" containsDate="1" containsString="0" minDate="1899-12-30T01:00:00" maxDate="1899-12-30T22:55:00"/>
    </cacheField>
    <cacheField name="End Time" numFmtId="165">
      <sharedItems containsSemiMixedTypes="0" containsNonDate="0" containsDate="1" containsString="0" minDate="1899-12-30T02:45:00" maxDate="1899-12-31T01:05:00"/>
    </cacheField>
    <cacheField name="Min Batch Time" numFmtId="0">
      <sharedItems containsSemiMixedTypes="0" containsString="0" containsNumber="1" containsInteger="1" minValue="60" maxValue="98"/>
    </cacheField>
    <cacheField name="Actual Batch Time" numFmtId="1">
      <sharedItems containsSemiMixedTypes="0" containsString="0" containsNumber="1" minValue="59.999999999999943" maxValue="205.00000000000006"/>
    </cacheField>
    <cacheField name="Time Above Min" numFmtId="1">
      <sharedItems containsSemiMixedTypes="0" containsString="0" containsNumber="1" minValue="-5.6843418860808015E-14" maxValue="107.00000000000006"/>
    </cacheField>
    <cacheField name="Recorded Downtime Minutes" numFmtId="0">
      <sharedItems containsSemiMixedTypes="0" containsString="0" containsNumber="1" containsInteger="1" minValue="0" maxValue="107"/>
    </cacheField>
    <cacheField name="Unexplained/Other time" numFmtId="1">
      <sharedItems containsSemiMixedTypes="0" containsString="0" containsNumber="1" minValue="-1.4210854715202004E-13" maxValue="1.1368683772161603E-13"/>
    </cacheField>
    <cacheField name="Efficiency%" numFmtId="10">
      <sharedItems containsSemiMixedTypes="0" containsString="0" containsNumber="1" minValue="0.44444444444444442" maxValue="1.0000000000000009"/>
    </cacheField>
    <cacheField name="Downtime% " numFmtId="10">
      <sharedItems containsSemiMixedTypes="0" containsString="0" containsNumber="1" minValue="0" maxValue="0.55555555555555558"/>
    </cacheField>
  </cacheFields>
  <extLst>
    <ext xmlns:x14="http://schemas.microsoft.com/office/spreadsheetml/2009/9/main" uri="{725AE2AE-9491-48be-B2B4-4EB974FC3084}">
      <x14:pivotCacheDefinition pivotCacheId="5137703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8.71472384259" createdVersion="8" refreshedVersion="8" minRefreshableVersion="3" recordCount="61" xr:uid="{3FE3BB08-CBCE-4CD8-975C-309AAEF54065}">
  <cacheSource type="worksheet">
    <worksheetSource ref="A1:G62" sheet="Fact Downtime"/>
  </cacheSource>
  <cacheFields count="7">
    <cacheField name="Batch" numFmtId="0">
      <sharedItems containsSemiMixedTypes="0" containsString="0" containsNumber="1" containsInteger="1" minValue="422111" maxValue="422148"/>
    </cacheField>
    <cacheField name="Downtime Factor" numFmtId="1">
      <sharedItems containsSemiMixedTypes="0" containsString="0" containsNumber="1" containsInteger="1" minValue="2" maxValue="12"/>
    </cacheField>
    <cacheField name="Downtime Minutes" numFmtId="1">
      <sharedItems containsSemiMixedTypes="0" containsString="0" containsNumber="1" containsInteger="1" minValue="5" maxValue="60"/>
    </cacheField>
    <cacheField name="Factor Description" numFmtId="0">
      <sharedItems count="11">
        <s v="Batch change"/>
        <s v="Labeling error"/>
        <s v="Inventory shortage"/>
        <s v="Product spill"/>
        <s v="Machine adjustment"/>
        <s v="Machine failure"/>
        <s v="Batch coding error"/>
        <s v="Conveyor belt jam"/>
        <s v="Calibration error"/>
        <s v="Label switch"/>
        <s v="Other"/>
      </sharedItems>
    </cacheField>
    <cacheField name="Operator Error" numFmtId="0">
      <sharedItems/>
    </cacheField>
    <cacheField name="Operator" numFmtId="0">
      <sharedItems count="4">
        <s v="Mac"/>
        <s v="Charlie"/>
        <s v="Dee"/>
        <s v="Dennis"/>
      </sharedItems>
    </cacheField>
    <cacheField name="Field7" caption="Field7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22111"/>
    <n v="2"/>
    <n v="60"/>
    <x v="0"/>
    <x v="0"/>
  </r>
  <r>
    <n v="422112"/>
    <n v="2"/>
    <n v="20"/>
    <x v="0"/>
    <x v="0"/>
  </r>
  <r>
    <n v="422113"/>
    <n v="2"/>
    <n v="50"/>
    <x v="0"/>
    <x v="0"/>
  </r>
  <r>
    <n v="422117"/>
    <n v="2"/>
    <n v="10"/>
    <x v="0"/>
    <x v="0"/>
  </r>
  <r>
    <n v="422130"/>
    <n v="2"/>
    <n v="20"/>
    <x v="0"/>
    <x v="0"/>
  </r>
  <r>
    <n v="422138"/>
    <n v="3"/>
    <n v="20"/>
    <x v="1"/>
    <x v="1"/>
  </r>
  <r>
    <n v="422145"/>
    <n v="3"/>
    <n v="22"/>
    <x v="1"/>
    <x v="1"/>
  </r>
  <r>
    <n v="422114"/>
    <n v="4"/>
    <n v="25"/>
    <x v="2"/>
    <x v="1"/>
  </r>
  <r>
    <n v="422119"/>
    <n v="4"/>
    <n v="25"/>
    <x v="2"/>
    <x v="1"/>
  </r>
  <r>
    <n v="422120"/>
    <n v="4"/>
    <n v="20"/>
    <x v="2"/>
    <x v="1"/>
  </r>
  <r>
    <n v="422123"/>
    <n v="4"/>
    <n v="43"/>
    <x v="2"/>
    <x v="1"/>
  </r>
  <r>
    <n v="422131"/>
    <n v="4"/>
    <n v="20"/>
    <x v="2"/>
    <x v="1"/>
  </r>
  <r>
    <n v="422135"/>
    <n v="4"/>
    <n v="30"/>
    <x v="2"/>
    <x v="1"/>
  </r>
  <r>
    <n v="422139"/>
    <n v="4"/>
    <n v="20"/>
    <x v="2"/>
    <x v="1"/>
  </r>
  <r>
    <n v="422147"/>
    <n v="4"/>
    <n v="17"/>
    <x v="2"/>
    <x v="1"/>
  </r>
  <r>
    <n v="422148"/>
    <n v="4"/>
    <n v="25"/>
    <x v="2"/>
    <x v="1"/>
  </r>
  <r>
    <n v="422120"/>
    <n v="5"/>
    <n v="15"/>
    <x v="3"/>
    <x v="0"/>
  </r>
  <r>
    <n v="422124"/>
    <n v="5"/>
    <n v="20"/>
    <x v="3"/>
    <x v="0"/>
  </r>
  <r>
    <n v="422128"/>
    <n v="5"/>
    <n v="22"/>
    <x v="3"/>
    <x v="0"/>
  </r>
  <r>
    <n v="422114"/>
    <n v="6"/>
    <n v="15"/>
    <x v="4"/>
    <x v="0"/>
  </r>
  <r>
    <n v="422117"/>
    <n v="6"/>
    <n v="5"/>
    <x v="4"/>
    <x v="0"/>
  </r>
  <r>
    <n v="422118"/>
    <n v="6"/>
    <n v="14"/>
    <x v="4"/>
    <x v="0"/>
  </r>
  <r>
    <n v="422124"/>
    <n v="6"/>
    <n v="20"/>
    <x v="4"/>
    <x v="0"/>
  </r>
  <r>
    <n v="422127"/>
    <n v="6"/>
    <n v="23"/>
    <x v="4"/>
    <x v="0"/>
  </r>
  <r>
    <n v="422139"/>
    <n v="6"/>
    <n v="15"/>
    <x v="4"/>
    <x v="0"/>
  </r>
  <r>
    <n v="422140"/>
    <n v="6"/>
    <n v="50"/>
    <x v="4"/>
    <x v="0"/>
  </r>
  <r>
    <n v="422142"/>
    <n v="6"/>
    <n v="30"/>
    <x v="4"/>
    <x v="0"/>
  </r>
  <r>
    <n v="422143"/>
    <n v="6"/>
    <n v="40"/>
    <x v="4"/>
    <x v="0"/>
  </r>
  <r>
    <n v="422144"/>
    <n v="6"/>
    <n v="30"/>
    <x v="4"/>
    <x v="0"/>
  </r>
  <r>
    <n v="422146"/>
    <n v="6"/>
    <n v="30"/>
    <x v="4"/>
    <x v="0"/>
  </r>
  <r>
    <n v="422147"/>
    <n v="6"/>
    <n v="60"/>
    <x v="4"/>
    <x v="0"/>
  </r>
  <r>
    <n v="422111"/>
    <n v="7"/>
    <n v="15"/>
    <x v="5"/>
    <x v="1"/>
  </r>
  <r>
    <n v="422118"/>
    <n v="7"/>
    <n v="16"/>
    <x v="5"/>
    <x v="1"/>
  </r>
  <r>
    <n v="422121"/>
    <n v="7"/>
    <n v="15"/>
    <x v="5"/>
    <x v="1"/>
  </r>
  <r>
    <n v="422122"/>
    <n v="7"/>
    <n v="25"/>
    <x v="5"/>
    <x v="1"/>
  </r>
  <r>
    <n v="422123"/>
    <n v="7"/>
    <n v="30"/>
    <x v="5"/>
    <x v="1"/>
  </r>
  <r>
    <n v="422128"/>
    <n v="7"/>
    <n v="30"/>
    <x v="5"/>
    <x v="1"/>
  </r>
  <r>
    <n v="422133"/>
    <n v="7"/>
    <n v="20"/>
    <x v="5"/>
    <x v="1"/>
  </r>
  <r>
    <n v="422134"/>
    <n v="7"/>
    <n v="30"/>
    <x v="5"/>
    <x v="1"/>
  </r>
  <r>
    <n v="422143"/>
    <n v="7"/>
    <n v="18"/>
    <x v="5"/>
    <x v="1"/>
  </r>
  <r>
    <n v="422146"/>
    <n v="7"/>
    <n v="25"/>
    <x v="5"/>
    <x v="1"/>
  </r>
  <r>
    <n v="422147"/>
    <n v="7"/>
    <n v="30"/>
    <x v="5"/>
    <x v="1"/>
  </r>
  <r>
    <n v="422112"/>
    <n v="8"/>
    <n v="20"/>
    <x v="6"/>
    <x v="0"/>
  </r>
  <r>
    <n v="422126"/>
    <n v="8"/>
    <n v="44"/>
    <x v="6"/>
    <x v="0"/>
  </r>
  <r>
    <n v="422134"/>
    <n v="8"/>
    <n v="20"/>
    <x v="6"/>
    <x v="0"/>
  </r>
  <r>
    <n v="422137"/>
    <n v="8"/>
    <n v="30"/>
    <x v="6"/>
    <x v="0"/>
  </r>
  <r>
    <n v="422144"/>
    <n v="8"/>
    <n v="24"/>
    <x v="6"/>
    <x v="0"/>
  </r>
  <r>
    <n v="422148"/>
    <n v="8"/>
    <n v="7"/>
    <x v="6"/>
    <x v="0"/>
  </r>
  <r>
    <n v="422120"/>
    <n v="9"/>
    <n v="17"/>
    <x v="7"/>
    <x v="1"/>
  </r>
  <r>
    <n v="422115"/>
    <n v="10"/>
    <n v="24"/>
    <x v="8"/>
    <x v="0"/>
  </r>
  <r>
    <n v="422131"/>
    <n v="10"/>
    <n v="10"/>
    <x v="8"/>
    <x v="0"/>
  </r>
  <r>
    <n v="422137"/>
    <n v="10"/>
    <n v="15"/>
    <x v="8"/>
    <x v="0"/>
  </r>
  <r>
    <n v="422118"/>
    <n v="11"/>
    <n v="10"/>
    <x v="9"/>
    <x v="0"/>
  </r>
  <r>
    <n v="422125"/>
    <n v="11"/>
    <n v="10"/>
    <x v="9"/>
    <x v="0"/>
  </r>
  <r>
    <n v="422140"/>
    <n v="11"/>
    <n v="13"/>
    <x v="9"/>
    <x v="0"/>
  </r>
  <r>
    <n v="422118"/>
    <n v="12"/>
    <n v="20"/>
    <x v="10"/>
    <x v="1"/>
  </r>
  <r>
    <n v="422125"/>
    <n v="12"/>
    <n v="10"/>
    <x v="10"/>
    <x v="1"/>
  </r>
  <r>
    <n v="422129"/>
    <n v="12"/>
    <n v="15"/>
    <x v="10"/>
    <x v="1"/>
  </r>
  <r>
    <n v="422135"/>
    <n v="12"/>
    <n v="15"/>
    <x v="10"/>
    <x v="1"/>
  </r>
  <r>
    <n v="422141"/>
    <n v="12"/>
    <n v="7"/>
    <x v="10"/>
    <x v="1"/>
  </r>
  <r>
    <n v="422146"/>
    <n v="12"/>
    <n v="7"/>
    <x v="1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422111"/>
    <x v="0"/>
    <x v="0"/>
    <x v="0"/>
    <d v="1899-12-30T11:50:00"/>
    <d v="1899-12-30T14:05:00"/>
    <n v="60"/>
    <n v="135"/>
    <n v="75"/>
    <n v="75"/>
    <n v="0"/>
    <n v="0.44444444444444442"/>
    <n v="0.55555555555555558"/>
  </r>
  <r>
    <n v="422112"/>
    <x v="0"/>
    <x v="1"/>
    <x v="0"/>
    <d v="1899-12-30T14:05:00"/>
    <d v="1899-12-30T15:45:00"/>
    <n v="60"/>
    <n v="99.999999999999972"/>
    <n v="39.999999999999972"/>
    <n v="40"/>
    <n v="0"/>
    <n v="0.6000000000000002"/>
    <n v="0.40000000000000013"/>
  </r>
  <r>
    <n v="422113"/>
    <x v="0"/>
    <x v="1"/>
    <x v="0"/>
    <d v="1899-12-30T15:45:00"/>
    <d v="1899-12-30T17:35:00"/>
    <n v="60"/>
    <n v="109.99999999999993"/>
    <n v="49.999999999999929"/>
    <n v="50"/>
    <n v="-7.1054273576010019E-14"/>
    <n v="0.54545454545454586"/>
    <n v="0.45454545454545486"/>
  </r>
  <r>
    <n v="422114"/>
    <x v="0"/>
    <x v="1"/>
    <x v="0"/>
    <d v="1899-12-30T17:35:00"/>
    <d v="1899-12-30T19:15:00"/>
    <n v="60"/>
    <n v="99.999999999999972"/>
    <n v="39.999999999999972"/>
    <n v="40"/>
    <n v="0"/>
    <n v="0.6000000000000002"/>
    <n v="0.40000000000000013"/>
  </r>
  <r>
    <n v="422115"/>
    <x v="0"/>
    <x v="1"/>
    <x v="1"/>
    <d v="1899-12-30T19:15:00"/>
    <d v="1899-12-30T20:39:00"/>
    <n v="60"/>
    <n v="84.000000000000028"/>
    <n v="24.000000000000028"/>
    <n v="24"/>
    <n v="2.8421709430404007E-14"/>
    <n v="0.71428571428571408"/>
    <n v="0.28571428571428564"/>
  </r>
  <r>
    <n v="422116"/>
    <x v="0"/>
    <x v="1"/>
    <x v="1"/>
    <d v="1899-12-30T20:39:00"/>
    <d v="1899-12-30T21:39:00"/>
    <n v="60"/>
    <n v="59.999999999999943"/>
    <n v="-5.6843418860808015E-14"/>
    <n v="0"/>
    <n v="-5.6843418860808015E-14"/>
    <n v="1.0000000000000009"/>
    <n v="0"/>
  </r>
  <r>
    <n v="422117"/>
    <x v="0"/>
    <x v="1"/>
    <x v="1"/>
    <d v="1899-12-30T21:39:00"/>
    <d v="1899-12-30T22:54:00"/>
    <n v="60"/>
    <n v="75.000000000000057"/>
    <n v="15.000000000000057"/>
    <n v="15"/>
    <n v="5.6843418860808015E-14"/>
    <n v="0.79999999999999938"/>
    <n v="0.19999999999999984"/>
  </r>
  <r>
    <n v="422118"/>
    <x v="1"/>
    <x v="2"/>
    <x v="2"/>
    <d v="1899-12-30T04:05:00"/>
    <d v="1899-12-30T06:05:00"/>
    <n v="60"/>
    <n v="119.99999999999997"/>
    <n v="59.999999999999972"/>
    <n v="60"/>
    <n v="0"/>
    <n v="0.50000000000000011"/>
    <n v="0.50000000000000011"/>
  </r>
  <r>
    <n v="422119"/>
    <x v="1"/>
    <x v="2"/>
    <x v="2"/>
    <d v="1899-12-30T06:05:00"/>
    <d v="1899-12-30T07:30:00"/>
    <n v="60"/>
    <n v="85.000000000000014"/>
    <n v="25.000000000000014"/>
    <n v="25"/>
    <n v="0"/>
    <n v="0.70588235294117641"/>
    <n v="0.29411764705882348"/>
  </r>
  <r>
    <n v="422120"/>
    <x v="1"/>
    <x v="2"/>
    <x v="2"/>
    <d v="1899-12-30T07:30:00"/>
    <d v="1899-12-30T09:22:00"/>
    <n v="60"/>
    <n v="112"/>
    <n v="52"/>
    <n v="52"/>
    <n v="0"/>
    <n v="0.5357142857142857"/>
    <n v="0.4642857142857143"/>
  </r>
  <r>
    <n v="422121"/>
    <x v="1"/>
    <x v="2"/>
    <x v="3"/>
    <d v="1899-12-30T09:22:00"/>
    <d v="1899-12-30T10:37:00"/>
    <n v="60"/>
    <n v="74.999999999999972"/>
    <n v="14.999999999999972"/>
    <n v="15"/>
    <n v="-2.8421709430404007E-14"/>
    <n v="0.80000000000000027"/>
    <n v="0.20000000000000007"/>
  </r>
  <r>
    <n v="422122"/>
    <x v="1"/>
    <x v="2"/>
    <x v="3"/>
    <d v="1899-12-30T10:37:00"/>
    <d v="1899-12-30T12:02:00"/>
    <n v="60"/>
    <n v="85.000000000000014"/>
    <n v="25.000000000000014"/>
    <n v="25"/>
    <n v="0"/>
    <n v="0.70588235294117641"/>
    <n v="0.29411764705882348"/>
  </r>
  <r>
    <n v="422123"/>
    <x v="1"/>
    <x v="2"/>
    <x v="3"/>
    <d v="1899-12-30T12:02:00"/>
    <d v="1899-12-30T14:15:00"/>
    <n v="60"/>
    <n v="133"/>
    <n v="73"/>
    <n v="73"/>
    <n v="0"/>
    <n v="0.45112781954887216"/>
    <n v="0.54887218045112784"/>
  </r>
  <r>
    <n v="422124"/>
    <x v="1"/>
    <x v="2"/>
    <x v="3"/>
    <d v="1899-12-30T14:15:00"/>
    <d v="1899-12-30T15:55:00"/>
    <n v="60"/>
    <n v="99.999999999999972"/>
    <n v="39.999999999999972"/>
    <n v="40"/>
    <n v="0"/>
    <n v="0.6000000000000002"/>
    <n v="0.40000000000000013"/>
  </r>
  <r>
    <n v="422125"/>
    <x v="1"/>
    <x v="2"/>
    <x v="1"/>
    <d v="1899-12-30T15:55:00"/>
    <d v="1899-12-30T17:15:00"/>
    <n v="60"/>
    <n v="80.000000000000028"/>
    <n v="20.000000000000028"/>
    <n v="20"/>
    <n v="2.8421709430404007E-14"/>
    <n v="0.74999999999999978"/>
    <n v="0.24999999999999992"/>
  </r>
  <r>
    <n v="422126"/>
    <x v="1"/>
    <x v="2"/>
    <x v="1"/>
    <d v="1899-12-30T17:15:00"/>
    <d v="1899-12-30T18:59:00"/>
    <n v="60"/>
    <n v="103.99999999999994"/>
    <n v="43.999999999999943"/>
    <n v="44"/>
    <n v="-5.6843418860808015E-14"/>
    <n v="0.5769230769230772"/>
    <n v="0.42307692307692329"/>
  </r>
  <r>
    <n v="422127"/>
    <x v="1"/>
    <x v="2"/>
    <x v="1"/>
    <d v="1899-12-30T18:59:00"/>
    <d v="1899-12-30T20:22:00"/>
    <n v="60"/>
    <n v="83.000000000000028"/>
    <n v="23.000000000000028"/>
    <n v="23"/>
    <n v="2.8421709430404007E-14"/>
    <n v="0.72289156626506001"/>
    <n v="0.27710843373493965"/>
  </r>
  <r>
    <n v="422128"/>
    <x v="1"/>
    <x v="2"/>
    <x v="1"/>
    <d v="1899-12-30T20:22:00"/>
    <d v="1899-12-30T22:14:00"/>
    <n v="60"/>
    <n v="112.00000000000009"/>
    <n v="52.000000000000085"/>
    <n v="52"/>
    <n v="8.5265128291212022E-14"/>
    <n v="0.53571428571428525"/>
    <n v="0.46428571428571391"/>
  </r>
  <r>
    <n v="422129"/>
    <x v="1"/>
    <x v="2"/>
    <x v="1"/>
    <d v="1899-12-30T22:14:00"/>
    <d v="1899-12-30T23:29:00"/>
    <n v="60"/>
    <n v="74.999999999999886"/>
    <n v="14.999999999999886"/>
    <n v="15"/>
    <n v="-1.1368683772161603E-13"/>
    <n v="0.80000000000000127"/>
    <n v="0.20000000000000032"/>
  </r>
  <r>
    <n v="422130"/>
    <x v="2"/>
    <x v="2"/>
    <x v="2"/>
    <d v="1899-12-30T07:45:00"/>
    <d v="1899-12-30T09:05:00"/>
    <n v="60"/>
    <n v="79.999999999999957"/>
    <n v="19.999999999999957"/>
    <n v="20"/>
    <n v="-4.2632564145606011E-14"/>
    <n v="0.75000000000000044"/>
    <n v="0.25000000000000011"/>
  </r>
  <r>
    <n v="422131"/>
    <x v="2"/>
    <x v="2"/>
    <x v="2"/>
    <d v="1899-12-30T09:05:00"/>
    <d v="1899-12-30T10:35:00"/>
    <n v="60"/>
    <n v="90"/>
    <n v="30"/>
    <n v="30"/>
    <n v="0"/>
    <n v="0.66666666666666663"/>
    <n v="0.33333333333333331"/>
  </r>
  <r>
    <n v="422132"/>
    <x v="2"/>
    <x v="2"/>
    <x v="2"/>
    <d v="1899-12-30T10:35:00"/>
    <d v="1899-12-30T11:35:00"/>
    <n v="60"/>
    <n v="60.000000000000028"/>
    <n v="0"/>
    <n v="0"/>
    <n v="0"/>
    <n v="0.99999999999999956"/>
    <n v="0"/>
  </r>
  <r>
    <n v="422133"/>
    <x v="2"/>
    <x v="3"/>
    <x v="2"/>
    <d v="1899-12-30T11:35:00"/>
    <d v="1899-12-30T12:55:00"/>
    <n v="60"/>
    <n v="79.999999999999957"/>
    <n v="19.999999999999957"/>
    <n v="20"/>
    <n v="-4.2632564145606011E-14"/>
    <n v="0.75000000000000044"/>
    <n v="0.25000000000000011"/>
  </r>
  <r>
    <n v="422134"/>
    <x v="2"/>
    <x v="3"/>
    <x v="0"/>
    <d v="1899-12-30T12:55:00"/>
    <d v="1899-12-30T14:45:00"/>
    <n v="60"/>
    <n v="110.00000000000009"/>
    <n v="50.000000000000085"/>
    <n v="50"/>
    <n v="8.5265128291212022E-14"/>
    <n v="0.54545454545454508"/>
    <n v="0.4545454545454542"/>
  </r>
  <r>
    <n v="422135"/>
    <x v="2"/>
    <x v="3"/>
    <x v="0"/>
    <d v="1899-12-30T14:45:00"/>
    <d v="1899-12-30T16:30:00"/>
    <n v="60"/>
    <n v="104.99999999999994"/>
    <n v="44.999999999999943"/>
    <n v="45"/>
    <n v="-5.6843418860808015E-14"/>
    <n v="0.57142857142857173"/>
    <n v="0.42857142857142883"/>
  </r>
  <r>
    <n v="422136"/>
    <x v="2"/>
    <x v="3"/>
    <x v="0"/>
    <d v="1899-12-30T16:30:00"/>
    <d v="1899-12-30T17:30:00"/>
    <n v="60"/>
    <n v="59.999999999999943"/>
    <n v="-5.6843418860808015E-14"/>
    <n v="0"/>
    <n v="-5.6843418860808015E-14"/>
    <n v="1.0000000000000009"/>
    <n v="0"/>
  </r>
  <r>
    <n v="422137"/>
    <x v="3"/>
    <x v="4"/>
    <x v="2"/>
    <d v="1899-12-30T01:00:00"/>
    <d v="1899-12-30T02:45:00"/>
    <n v="60"/>
    <n v="104.99999999999999"/>
    <n v="44.999999999999986"/>
    <n v="45"/>
    <n v="0"/>
    <n v="0.57142857142857151"/>
    <n v="0.4285714285714286"/>
  </r>
  <r>
    <n v="422138"/>
    <x v="3"/>
    <x v="4"/>
    <x v="2"/>
    <d v="1899-12-30T02:45:00"/>
    <d v="1899-12-30T04:05:00"/>
    <n v="60"/>
    <n v="80.000000000000014"/>
    <n v="20.000000000000014"/>
    <n v="20"/>
    <n v="0"/>
    <n v="0.74999999999999989"/>
    <n v="0.24999999999999994"/>
  </r>
  <r>
    <n v="422139"/>
    <x v="3"/>
    <x v="4"/>
    <x v="2"/>
    <d v="1899-12-30T04:05:00"/>
    <d v="1899-12-30T05:40:00"/>
    <n v="60"/>
    <n v="94.999999999999986"/>
    <n v="34.999999999999986"/>
    <n v="35"/>
    <n v="0"/>
    <n v="0.63157894736842113"/>
    <n v="0.36842105263157898"/>
  </r>
  <r>
    <n v="422140"/>
    <x v="3"/>
    <x v="4"/>
    <x v="2"/>
    <d v="1899-12-30T05:40:00"/>
    <d v="1899-12-30T07:43:00"/>
    <n v="60"/>
    <n v="123.00000000000004"/>
    <n v="63.000000000000043"/>
    <n v="63"/>
    <n v="0"/>
    <n v="0.48780487804878031"/>
    <n v="0.5121951219512193"/>
  </r>
  <r>
    <n v="422141"/>
    <x v="3"/>
    <x v="4"/>
    <x v="3"/>
    <d v="1899-12-30T07:43:00"/>
    <d v="1899-12-30T08:50:00"/>
    <n v="60"/>
    <n v="67"/>
    <n v="7"/>
    <n v="7"/>
    <n v="0"/>
    <n v="0.89552238805970152"/>
    <n v="0.1044776119402985"/>
  </r>
  <r>
    <n v="422142"/>
    <x v="3"/>
    <x v="4"/>
    <x v="3"/>
    <d v="1899-12-30T08:50:00"/>
    <d v="1899-12-30T10:20:00"/>
    <n v="60"/>
    <n v="90"/>
    <n v="30"/>
    <n v="30"/>
    <n v="0"/>
    <n v="0.66666666666666663"/>
    <n v="0.33333333333333331"/>
  </r>
  <r>
    <n v="422143"/>
    <x v="3"/>
    <x v="4"/>
    <x v="3"/>
    <d v="1899-12-30T10:20:00"/>
    <d v="1899-12-30T12:18:00"/>
    <n v="60"/>
    <n v="117.9999999999999"/>
    <n v="57.999999999999901"/>
    <n v="58"/>
    <n v="-9.9475983006414026E-14"/>
    <n v="0.50847457627118686"/>
    <n v="0.49152542372881397"/>
  </r>
  <r>
    <n v="422144"/>
    <x v="3"/>
    <x v="5"/>
    <x v="3"/>
    <d v="1899-12-30T12:18:00"/>
    <d v="1899-12-30T14:50:00"/>
    <n v="98"/>
    <n v="152.00000000000011"/>
    <n v="54.000000000000114"/>
    <n v="54"/>
    <n v="1.1368683772161603E-13"/>
    <n v="0.64473684210526272"/>
    <n v="0.35526315789473656"/>
  </r>
  <r>
    <n v="422145"/>
    <x v="3"/>
    <x v="5"/>
    <x v="1"/>
    <d v="1899-12-30T14:50:00"/>
    <d v="1899-12-30T16:50:00"/>
    <n v="98"/>
    <n v="120.00000000000006"/>
    <n v="22.000000000000057"/>
    <n v="22"/>
    <n v="5.6843418860808015E-14"/>
    <n v="0.81666666666666632"/>
    <n v="0.18333333333333324"/>
  </r>
  <r>
    <n v="422146"/>
    <x v="3"/>
    <x v="5"/>
    <x v="1"/>
    <d v="1899-12-30T16:50:00"/>
    <d v="1899-12-30T19:30:00"/>
    <n v="98"/>
    <n v="159.99999999999991"/>
    <n v="61.999999999999915"/>
    <n v="62"/>
    <n v="-8.5265128291212022E-14"/>
    <n v="0.61250000000000038"/>
    <n v="0.38750000000000023"/>
  </r>
  <r>
    <n v="422147"/>
    <x v="3"/>
    <x v="5"/>
    <x v="1"/>
    <d v="1899-12-30T19:30:00"/>
    <d v="1899-12-30T22:55:00"/>
    <n v="98"/>
    <n v="205.00000000000006"/>
    <n v="107.00000000000006"/>
    <n v="107"/>
    <n v="0"/>
    <n v="0.47804878048780475"/>
    <n v="0.52195121951219503"/>
  </r>
  <r>
    <n v="422148"/>
    <x v="4"/>
    <x v="5"/>
    <x v="0"/>
    <d v="1899-12-30T22:55:00"/>
    <d v="1899-12-31T01:05:00"/>
    <n v="98"/>
    <n v="129.99999999999986"/>
    <n v="31.999999999999858"/>
    <n v="32"/>
    <n v="-1.4210854715202004E-13"/>
    <n v="0.75384615384615472"/>
    <n v="0.2461538461538464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n v="422111"/>
    <n v="2"/>
    <n v="60"/>
    <x v="0"/>
    <s v="Yes"/>
    <x v="0"/>
    <b v="1"/>
  </r>
  <r>
    <n v="422112"/>
    <n v="2"/>
    <n v="20"/>
    <x v="0"/>
    <s v="Yes"/>
    <x v="0"/>
    <m/>
  </r>
  <r>
    <n v="422113"/>
    <n v="2"/>
    <n v="50"/>
    <x v="0"/>
    <s v="Yes"/>
    <x v="0"/>
    <m/>
  </r>
  <r>
    <n v="422117"/>
    <n v="2"/>
    <n v="10"/>
    <x v="0"/>
    <s v="Yes"/>
    <x v="1"/>
    <m/>
  </r>
  <r>
    <n v="422130"/>
    <n v="2"/>
    <n v="20"/>
    <x v="0"/>
    <s v="Yes"/>
    <x v="2"/>
    <m/>
  </r>
  <r>
    <n v="422138"/>
    <n v="3"/>
    <n v="20"/>
    <x v="1"/>
    <s v="No"/>
    <x v="2"/>
    <m/>
  </r>
  <r>
    <n v="422145"/>
    <n v="3"/>
    <n v="22"/>
    <x v="1"/>
    <s v="No"/>
    <x v="1"/>
    <m/>
  </r>
  <r>
    <n v="422114"/>
    <n v="4"/>
    <n v="25"/>
    <x v="2"/>
    <s v="No"/>
    <x v="0"/>
    <m/>
  </r>
  <r>
    <n v="422119"/>
    <n v="4"/>
    <n v="25"/>
    <x v="2"/>
    <s v="No"/>
    <x v="2"/>
    <m/>
  </r>
  <r>
    <n v="422120"/>
    <n v="4"/>
    <n v="20"/>
    <x v="2"/>
    <s v="No"/>
    <x v="2"/>
    <m/>
  </r>
  <r>
    <n v="422123"/>
    <n v="4"/>
    <n v="43"/>
    <x v="2"/>
    <s v="No"/>
    <x v="3"/>
    <m/>
  </r>
  <r>
    <n v="422131"/>
    <n v="4"/>
    <n v="20"/>
    <x v="2"/>
    <s v="No"/>
    <x v="2"/>
    <m/>
  </r>
  <r>
    <n v="422135"/>
    <n v="4"/>
    <n v="30"/>
    <x v="2"/>
    <s v="No"/>
    <x v="0"/>
    <m/>
  </r>
  <r>
    <n v="422139"/>
    <n v="4"/>
    <n v="20"/>
    <x v="2"/>
    <s v="No"/>
    <x v="2"/>
    <m/>
  </r>
  <r>
    <n v="422147"/>
    <n v="4"/>
    <n v="17"/>
    <x v="2"/>
    <s v="No"/>
    <x v="1"/>
    <m/>
  </r>
  <r>
    <n v="422148"/>
    <n v="4"/>
    <n v="25"/>
    <x v="2"/>
    <s v="No"/>
    <x v="0"/>
    <m/>
  </r>
  <r>
    <n v="422120"/>
    <n v="5"/>
    <n v="15"/>
    <x v="3"/>
    <s v="Yes"/>
    <x v="2"/>
    <m/>
  </r>
  <r>
    <n v="422124"/>
    <n v="5"/>
    <n v="20"/>
    <x v="3"/>
    <s v="Yes"/>
    <x v="3"/>
    <m/>
  </r>
  <r>
    <n v="422128"/>
    <n v="5"/>
    <n v="22"/>
    <x v="3"/>
    <s v="Yes"/>
    <x v="1"/>
    <m/>
  </r>
  <r>
    <n v="422114"/>
    <n v="6"/>
    <n v="15"/>
    <x v="4"/>
    <s v="Yes"/>
    <x v="0"/>
    <m/>
  </r>
  <r>
    <n v="422117"/>
    <n v="6"/>
    <n v="5"/>
    <x v="4"/>
    <s v="Yes"/>
    <x v="1"/>
    <m/>
  </r>
  <r>
    <n v="422118"/>
    <n v="6"/>
    <n v="14"/>
    <x v="4"/>
    <s v="Yes"/>
    <x v="2"/>
    <m/>
  </r>
  <r>
    <n v="422124"/>
    <n v="6"/>
    <n v="20"/>
    <x v="4"/>
    <s v="Yes"/>
    <x v="3"/>
    <m/>
  </r>
  <r>
    <n v="422127"/>
    <n v="6"/>
    <n v="23"/>
    <x v="4"/>
    <s v="Yes"/>
    <x v="1"/>
    <m/>
  </r>
  <r>
    <n v="422139"/>
    <n v="6"/>
    <n v="15"/>
    <x v="4"/>
    <s v="Yes"/>
    <x v="2"/>
    <m/>
  </r>
  <r>
    <n v="422140"/>
    <n v="6"/>
    <n v="50"/>
    <x v="4"/>
    <s v="Yes"/>
    <x v="2"/>
    <m/>
  </r>
  <r>
    <n v="422142"/>
    <n v="6"/>
    <n v="30"/>
    <x v="4"/>
    <s v="Yes"/>
    <x v="3"/>
    <m/>
  </r>
  <r>
    <n v="422143"/>
    <n v="6"/>
    <n v="40"/>
    <x v="4"/>
    <s v="Yes"/>
    <x v="3"/>
    <m/>
  </r>
  <r>
    <n v="422144"/>
    <n v="6"/>
    <n v="30"/>
    <x v="4"/>
    <s v="Yes"/>
    <x v="3"/>
    <m/>
  </r>
  <r>
    <n v="422146"/>
    <n v="6"/>
    <n v="30"/>
    <x v="4"/>
    <s v="Yes"/>
    <x v="1"/>
    <m/>
  </r>
  <r>
    <n v="422147"/>
    <n v="6"/>
    <n v="60"/>
    <x v="4"/>
    <s v="Yes"/>
    <x v="1"/>
    <m/>
  </r>
  <r>
    <n v="422111"/>
    <n v="7"/>
    <n v="15"/>
    <x v="5"/>
    <s v="No"/>
    <x v="0"/>
    <m/>
  </r>
  <r>
    <n v="422118"/>
    <n v="7"/>
    <n v="16"/>
    <x v="5"/>
    <s v="No"/>
    <x v="2"/>
    <m/>
  </r>
  <r>
    <n v="422121"/>
    <n v="7"/>
    <n v="15"/>
    <x v="5"/>
    <s v="No"/>
    <x v="3"/>
    <m/>
  </r>
  <r>
    <n v="422122"/>
    <n v="7"/>
    <n v="25"/>
    <x v="5"/>
    <s v="No"/>
    <x v="3"/>
    <m/>
  </r>
  <r>
    <n v="422123"/>
    <n v="7"/>
    <n v="30"/>
    <x v="5"/>
    <s v="No"/>
    <x v="3"/>
    <m/>
  </r>
  <r>
    <n v="422128"/>
    <n v="7"/>
    <n v="30"/>
    <x v="5"/>
    <s v="No"/>
    <x v="1"/>
    <m/>
  </r>
  <r>
    <n v="422133"/>
    <n v="7"/>
    <n v="20"/>
    <x v="5"/>
    <s v="No"/>
    <x v="2"/>
    <m/>
  </r>
  <r>
    <n v="422134"/>
    <n v="7"/>
    <n v="30"/>
    <x v="5"/>
    <s v="No"/>
    <x v="0"/>
    <m/>
  </r>
  <r>
    <n v="422143"/>
    <n v="7"/>
    <n v="18"/>
    <x v="5"/>
    <s v="No"/>
    <x v="3"/>
    <m/>
  </r>
  <r>
    <n v="422146"/>
    <n v="7"/>
    <n v="25"/>
    <x v="5"/>
    <s v="No"/>
    <x v="1"/>
    <m/>
  </r>
  <r>
    <n v="422147"/>
    <n v="7"/>
    <n v="30"/>
    <x v="5"/>
    <s v="No"/>
    <x v="1"/>
    <m/>
  </r>
  <r>
    <n v="422112"/>
    <n v="8"/>
    <n v="20"/>
    <x v="6"/>
    <s v="Yes"/>
    <x v="0"/>
    <m/>
  </r>
  <r>
    <n v="422126"/>
    <n v="8"/>
    <n v="44"/>
    <x v="6"/>
    <s v="Yes"/>
    <x v="1"/>
    <m/>
  </r>
  <r>
    <n v="422134"/>
    <n v="8"/>
    <n v="20"/>
    <x v="6"/>
    <s v="Yes"/>
    <x v="0"/>
    <m/>
  </r>
  <r>
    <n v="422137"/>
    <n v="8"/>
    <n v="30"/>
    <x v="6"/>
    <s v="Yes"/>
    <x v="2"/>
    <m/>
  </r>
  <r>
    <n v="422144"/>
    <n v="8"/>
    <n v="24"/>
    <x v="6"/>
    <s v="Yes"/>
    <x v="3"/>
    <m/>
  </r>
  <r>
    <n v="422148"/>
    <n v="8"/>
    <n v="7"/>
    <x v="6"/>
    <s v="Yes"/>
    <x v="0"/>
    <m/>
  </r>
  <r>
    <n v="422120"/>
    <n v="9"/>
    <n v="17"/>
    <x v="7"/>
    <s v="No"/>
    <x v="2"/>
    <m/>
  </r>
  <r>
    <n v="422115"/>
    <n v="10"/>
    <n v="24"/>
    <x v="8"/>
    <s v="Yes"/>
    <x v="1"/>
    <m/>
  </r>
  <r>
    <n v="422131"/>
    <n v="10"/>
    <n v="10"/>
    <x v="8"/>
    <s v="Yes"/>
    <x v="2"/>
    <m/>
  </r>
  <r>
    <n v="422137"/>
    <n v="10"/>
    <n v="15"/>
    <x v="8"/>
    <s v="Yes"/>
    <x v="2"/>
    <m/>
  </r>
  <r>
    <n v="422118"/>
    <n v="11"/>
    <n v="10"/>
    <x v="9"/>
    <s v="Yes"/>
    <x v="2"/>
    <m/>
  </r>
  <r>
    <n v="422125"/>
    <n v="11"/>
    <n v="10"/>
    <x v="9"/>
    <s v="Yes"/>
    <x v="1"/>
    <m/>
  </r>
  <r>
    <n v="422140"/>
    <n v="11"/>
    <n v="13"/>
    <x v="9"/>
    <s v="Yes"/>
    <x v="2"/>
    <m/>
  </r>
  <r>
    <n v="422118"/>
    <n v="12"/>
    <n v="20"/>
    <x v="10"/>
    <s v="No"/>
    <x v="2"/>
    <m/>
  </r>
  <r>
    <n v="422125"/>
    <n v="12"/>
    <n v="10"/>
    <x v="10"/>
    <s v="No"/>
    <x v="1"/>
    <m/>
  </r>
  <r>
    <n v="422129"/>
    <n v="12"/>
    <n v="15"/>
    <x v="10"/>
    <s v="No"/>
    <x v="1"/>
    <m/>
  </r>
  <r>
    <n v="422135"/>
    <n v="12"/>
    <n v="15"/>
    <x v="10"/>
    <s v="No"/>
    <x v="0"/>
    <m/>
  </r>
  <r>
    <n v="422141"/>
    <n v="12"/>
    <n v="7"/>
    <x v="10"/>
    <s v="No"/>
    <x v="3"/>
    <m/>
  </r>
  <r>
    <n v="422146"/>
    <n v="12"/>
    <n v="7"/>
    <x v="10"/>
    <s v="No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44E0F-2107-4902-B25D-A175D764804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6:D39" firstHeaderRow="1" firstDataRow="2" firstDataCol="1"/>
  <pivotFields count="5">
    <pivotField compact="0" outline="0" showAll="0"/>
    <pivotField compact="0" numFmtId="1" outline="0" showAll="0"/>
    <pivotField dataField="1" compact="0" numFmtId="1" outline="0" showAll="0"/>
    <pivotField axis="axisRow" compact="0" outline="0" showAll="0" sortType="descending">
      <items count="12">
        <item x="0"/>
        <item x="6"/>
        <item x="8"/>
        <item x="7"/>
        <item x="2"/>
        <item x="9"/>
        <item x="1"/>
        <item x="4"/>
        <item x="5"/>
        <item x="1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12">
    <i>
      <x v="7"/>
    </i>
    <i>
      <x v="8"/>
    </i>
    <i>
      <x v="4"/>
    </i>
    <i>
      <x/>
    </i>
    <i>
      <x v="1"/>
    </i>
    <i>
      <x v="9"/>
    </i>
    <i>
      <x v="10"/>
    </i>
    <i>
      <x v="2"/>
    </i>
    <i>
      <x v="6"/>
    </i>
    <i>
      <x v="5"/>
    </i>
    <i>
      <x v="3"/>
    </i>
    <i t="grand">
      <x/>
    </i>
  </rowItems>
  <colFields count="1">
    <field x="4"/>
  </colFields>
  <colItems count="3">
    <i>
      <x v="1"/>
    </i>
    <i>
      <x/>
    </i>
    <i t="grand">
      <x/>
    </i>
  </colItems>
  <dataFields count="1">
    <dataField name="Sum of Downtime Minutes" fld="2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05AE42-C0AD-45B8-A3FA-F8E581E0AF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9:E22" firstHeaderRow="0" firstDataRow="1" firstDataCol="1"/>
  <pivotFields count="5">
    <pivotField compact="0" outline="0" showAll="0"/>
    <pivotField dataField="1" compact="0" numFmtId="1" outline="0" showAll="0"/>
    <pivotField dataField="1" compact="0" numFmtId="1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Downtime Minutes" fld="2" baseField="0" baseItem="0" numFmtId="1"/>
    <dataField name="Sum of Downtime Minutes2" fld="2" showDataAs="percentOfTotal" baseField="0" baseItem="0" numFmtId="10"/>
    <dataField name="Count of Downtime Factor" fld="1" subtotal="count" baseField="0" baseItem="0"/>
    <dataField name="Average of Downtime Minutes3" fld="2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7220D1-EA65-4F48-B019-4C6BF8D0EF0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5" firstHeaderRow="1" firstDataRow="1" firstDataCol="1"/>
  <pivotFields count="5">
    <pivotField compact="0" outline="0" showAll="0"/>
    <pivotField compact="0" numFmtId="1" outline="0" showAll="0"/>
    <pivotField dataField="1" compact="0" numFmtId="1" outline="0" showAll="0"/>
    <pivotField axis="axisRow" compact="0" outline="0" showAll="0" sortType="descending">
      <items count="12">
        <item x="3"/>
        <item x="10"/>
        <item x="5"/>
        <item x="4"/>
        <item x="1"/>
        <item x="9"/>
        <item x="2"/>
        <item x="7"/>
        <item x="8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3"/>
  </rowFields>
  <rowItems count="12">
    <i>
      <x v="3"/>
    </i>
    <i>
      <x v="2"/>
    </i>
    <i>
      <x v="6"/>
    </i>
    <i>
      <x v="10"/>
    </i>
    <i>
      <x v="9"/>
    </i>
    <i>
      <x v="1"/>
    </i>
    <i>
      <x/>
    </i>
    <i>
      <x v="8"/>
    </i>
    <i>
      <x v="4"/>
    </i>
    <i>
      <x v="5"/>
    </i>
    <i>
      <x v="7"/>
    </i>
    <i t="grand">
      <x/>
    </i>
  </rowItems>
  <colItems count="1">
    <i/>
  </colItems>
  <dataFields count="1">
    <dataField name="Sum of Downtime Minutes" fld="2" baseField="0" baseItem="0" numFmtId="1"/>
  </dataFields>
  <chartFormats count="15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7B5F7-6867-41B2-B9F0-6B1CC0BC3B71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8" firstHeaderRow="0" firstDataRow="1" firstDataCol="1"/>
  <pivotFields count="13">
    <pivotField dataField="1" compact="0" outline="0" showAll="0"/>
    <pivotField compact="0" numFmtId="14" outline="0" showAll="0"/>
    <pivotField compact="0" outline="0" showAll="0">
      <items count="7">
        <item x="5"/>
        <item x="2"/>
        <item x="3"/>
        <item x="1"/>
        <item x="0"/>
        <item x="4"/>
        <item t="default"/>
      </items>
    </pivotField>
    <pivotField axis="axisRow" compact="0" outline="0" showAll="0">
      <items count="5">
        <item x="1"/>
        <item x="2"/>
        <item x="3"/>
        <item x="0"/>
        <item t="default"/>
      </items>
    </pivotField>
    <pivotField compact="0" numFmtId="165" outline="0" showAll="0"/>
    <pivotField compact="0" numFmtId="165" outline="0" showAll="0"/>
    <pivotField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Batch" fld="0" subtotal="count" baseField="0" baseItem="0"/>
    <dataField name="Sum of Actual Batch Time" fld="7" baseField="0" baseItem="0" numFmtId="1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629DFA-CCB6-4FE8-857B-DFE91936D88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3:M19" firstHeaderRow="1" firstDataRow="2" firstDataCol="1"/>
  <pivotFields count="7">
    <pivotField compact="0" outline="0" showAll="0"/>
    <pivotField compact="0" numFmtId="1" outline="0" showAll="0"/>
    <pivotField dataField="1" compact="0" numFmtId="1" outline="0" showAll="0"/>
    <pivotField axis="axisCol" compact="0" outline="0" showAll="0">
      <items count="12">
        <item x="0"/>
        <item x="6"/>
        <item x="8"/>
        <item x="7"/>
        <item x="2"/>
        <item x="9"/>
        <item x="1"/>
        <item x="4"/>
        <item x="5"/>
        <item x="10"/>
        <item x="3"/>
        <item t="default"/>
      </items>
    </pivotField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Downtime Minutes" fld="2" baseField="0" baseItem="0" numFmtId="1"/>
  </dataFields>
  <conditionalFormats count="3">
    <conditionalFormat priority="3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3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5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A6F4C5-CE9A-472C-82C1-F22740554944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10" firstHeaderRow="0" firstDataRow="1" firstDataCol="1"/>
  <pivotFields count="13">
    <pivotField dataField="1" compact="0" outline="0" showAll="0"/>
    <pivotField compact="0" numFmtId="14" outline="0" showAll="0"/>
    <pivotField axis="axisRow" compact="0" outline="0" showAll="0">
      <items count="7">
        <item x="5"/>
        <item x="2"/>
        <item x="3"/>
        <item x="1"/>
        <item x="0"/>
        <item x="4"/>
        <item t="default"/>
      </items>
    </pivotField>
    <pivotField compact="0" outline="0" showAll="0">
      <items count="5">
        <item x="1"/>
        <item h="1" x="2"/>
        <item h="1" x="3"/>
        <item h="1" x="0"/>
        <item t="default"/>
      </items>
    </pivotField>
    <pivotField compact="0" numFmtId="165" outline="0" showAll="0"/>
    <pivotField compact="0" numFmtId="165" outline="0" showAll="0"/>
    <pivotField dataField="1"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0" subtotal="count" baseField="0" baseItem="0"/>
    <dataField name="Sum of Actual Batch Time" fld="7" baseField="0" baseItem="0" numFmtId="1"/>
    <dataField name="Sum of Min Batch Time" fld="6" baseField="0" baseItem="0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3C453A-EC97-4FA8-BA11-E2EA16E0724F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3:E9" firstHeaderRow="0" firstDataRow="1" firstDataCol="1"/>
  <pivotFields count="13">
    <pivotField dataField="1" compact="0" outline="0" showAll="0"/>
    <pivotField axis="axisRow" compact="0" numFmtId="14" outline="0" showAll="0">
      <items count="6">
        <item x="0"/>
        <item x="1"/>
        <item x="2"/>
        <item x="3"/>
        <item x="4"/>
        <item t="default"/>
      </items>
    </pivotField>
    <pivotField compact="0" outline="0" showAll="0">
      <items count="7">
        <item x="5"/>
        <item x="2"/>
        <item x="3"/>
        <item x="1"/>
        <item x="0"/>
        <item x="4"/>
        <item t="default"/>
      </items>
    </pivotField>
    <pivotField compact="0" outline="0" showAll="0">
      <items count="5">
        <item x="1"/>
        <item h="1" x="2"/>
        <item h="1" x="3"/>
        <item h="1" x="0"/>
        <item t="default"/>
      </items>
    </pivotField>
    <pivotField compact="0" numFmtId="165" outline="0" showAll="0"/>
    <pivotField compact="0" numFmtId="165" outline="0" showAll="0"/>
    <pivotField dataField="1" compact="0" outline="0" showAll="0"/>
    <pivotField dataField="1" compact="0" numFmtId="1" outline="0" showAll="0"/>
    <pivotField compact="0" numFmtId="1" outline="0" showAll="0"/>
    <pivotField dataField="1" compact="0" outline="0" showAll="0"/>
    <pivotField compact="0" numFmtId="1" outline="0" showAll="0"/>
    <pivotField compact="0" numFmtId="10" outline="0" showAll="0"/>
    <pivotField compact="0" numFmtId="1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Batch" fld="0" subtotal="count" baseField="0" baseItem="0"/>
    <dataField name="Sum of Actual Batch Time" fld="7" baseField="0" baseItem="0" numFmtId="1"/>
    <dataField name="Sum of Min Batch Time" fld="6" baseField="0" baseItem="0"/>
    <dataField name="Sum of Recorded Downtime Minut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319DFE-90D0-4AD6-93B5-784F6F76BF07}" name="Table2" displayName="Table2" ref="A1:M39" totalsRowShown="0" headerRowDxfId="9">
  <autoFilter ref="A1:M39" xr:uid="{EA319DFE-90D0-4AD6-93B5-784F6F76BF07}"/>
  <tableColumns count="13">
    <tableColumn id="1" xr3:uid="{4D0FB241-D5A1-4251-96A1-453EF86EFD86}" name="Batch" dataDxfId="8"/>
    <tableColumn id="2" xr3:uid="{2003208E-FF7B-4AF6-BD53-84CC3B4690DE}" name="1"/>
    <tableColumn id="3" xr3:uid="{3D747434-599C-4652-873B-EF565F7227D9}" name="2"/>
    <tableColumn id="4" xr3:uid="{DD1757D8-3228-49CA-BD5F-4FD565821976}" name="3"/>
    <tableColumn id="5" xr3:uid="{E50D2BD4-27DB-40A0-8616-3B8CDE800360}" name="4"/>
    <tableColumn id="6" xr3:uid="{57F29AD2-9A34-4439-AF3D-C0BFE3847F82}" name="5"/>
    <tableColumn id="7" xr3:uid="{3FEF81F6-499B-4669-B762-8F27D445CFAE}" name="6" dataDxfId="7"/>
    <tableColumn id="8" xr3:uid="{C48365E9-8E8D-4D54-B426-337666A96DBE}" name="7"/>
    <tableColumn id="9" xr3:uid="{130A981D-F770-43EC-B799-BF012D582AF0}" name="8"/>
    <tableColumn id="10" xr3:uid="{A55A6079-2750-482C-BA3C-DF25942FE2E7}" name="9"/>
    <tableColumn id="11" xr3:uid="{9F007B20-A5CC-45AD-8EB2-EBF6D9F9B574}" name="10"/>
    <tableColumn id="12" xr3:uid="{EAA45200-1FCA-40C9-8EAF-E3DFA3D5EDF3}" name="11"/>
    <tableColumn id="13" xr3:uid="{CC4B29D5-EBA1-4A1C-B458-709F10B0AFCC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2196-53A0-4D0C-A949-FBF5E578EE8A}">
  <sheetPr>
    <tabColor rgb="FF3A1808"/>
    <pageSetUpPr fitToPage="1"/>
  </sheetPr>
  <dimension ref="A1:Z72"/>
  <sheetViews>
    <sheetView tabSelected="1" topLeftCell="A2" zoomScale="102" zoomScaleNormal="80" workbookViewId="0">
      <selection activeCell="G3" sqref="G3"/>
    </sheetView>
  </sheetViews>
  <sheetFormatPr defaultColWidth="0" defaultRowHeight="14.4" zeroHeight="1" x14ac:dyDescent="0.3"/>
  <cols>
    <col min="1" max="16" width="10.6640625" customWidth="1"/>
    <col min="17" max="21" width="12.5546875" customWidth="1"/>
    <col min="22" max="26" width="0" hidden="1" customWidth="1"/>
    <col min="27" max="16384" width="8.88671875" hidden="1"/>
  </cols>
  <sheetData>
    <row r="1" spans="1:23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</row>
    <row r="2" spans="1:23" s="29" customFormat="1" ht="47.25" customHeight="1" x14ac:dyDescent="1">
      <c r="A2" s="54" t="s">
        <v>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3" ht="23.4" customHeight="1" x14ac:dyDescent="0.4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28"/>
      <c r="O3" s="28"/>
      <c r="P3" s="28"/>
      <c r="Q3" s="84" t="s">
        <v>147</v>
      </c>
      <c r="R3" s="84"/>
      <c r="S3" s="84"/>
      <c r="T3" s="84"/>
      <c r="U3" s="84"/>
    </row>
    <row r="4" spans="1:23" x14ac:dyDescent="0.3">
      <c r="A4" s="31"/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3"/>
      <c r="R4" s="33"/>
      <c r="S4" s="33"/>
      <c r="T4" s="33"/>
      <c r="U4" s="33"/>
    </row>
    <row r="5" spans="1:23" ht="20.25" customHeight="1" x14ac:dyDescent="0.3">
      <c r="A5" s="33"/>
      <c r="B5" s="33"/>
      <c r="C5" s="33"/>
      <c r="D5" s="90" t="s">
        <v>2</v>
      </c>
      <c r="E5" s="90"/>
      <c r="F5" s="90"/>
      <c r="G5" s="34"/>
      <c r="H5" s="91" t="s">
        <v>3</v>
      </c>
      <c r="I5" s="91"/>
      <c r="J5" s="91"/>
      <c r="K5" s="34"/>
      <c r="L5" s="91" t="s">
        <v>4</v>
      </c>
      <c r="M5" s="91"/>
      <c r="N5" s="91"/>
      <c r="O5" s="34"/>
      <c r="P5" s="91" t="s">
        <v>5</v>
      </c>
      <c r="Q5" s="91"/>
      <c r="R5" s="91"/>
      <c r="S5" s="32"/>
      <c r="T5" s="32"/>
      <c r="U5" s="32"/>
      <c r="V5" s="7"/>
      <c r="W5" s="7"/>
    </row>
    <row r="6" spans="1:23" s="27" customFormat="1" ht="47.4" x14ac:dyDescent="0.3">
      <c r="A6" s="35"/>
      <c r="B6" s="35"/>
      <c r="C6" s="35"/>
      <c r="D6" s="82">
        <f>'EDA Summary'!B1</f>
        <v>0.64022809745982379</v>
      </c>
      <c r="E6" s="82"/>
      <c r="F6" s="82"/>
      <c r="G6" s="36"/>
      <c r="H6" s="92">
        <f>'EDA Summary'!B8</f>
        <v>0.35977190254017632</v>
      </c>
      <c r="I6" s="92"/>
      <c r="J6" s="92"/>
      <c r="K6" s="36"/>
      <c r="L6" s="81" t="str">
        <f>INT('EDA Summary'!B5/60)&amp;"h "&amp;MOD('EDA Summary'!B5,60)&amp;"m"</f>
        <v>23h 8m</v>
      </c>
      <c r="M6" s="81"/>
      <c r="N6" s="81"/>
      <c r="O6" s="37"/>
      <c r="P6" s="81">
        <f>COUNTA('Fact Downtime'!A2:A62)</f>
        <v>61</v>
      </c>
      <c r="Q6" s="81"/>
      <c r="R6" s="81"/>
      <c r="S6" s="38"/>
      <c r="T6" s="38"/>
      <c r="U6" s="38"/>
      <c r="V6" s="30"/>
      <c r="W6" s="30"/>
    </row>
    <row r="7" spans="1:23" ht="21.75" customHeight="1" x14ac:dyDescent="0.3">
      <c r="A7" s="33"/>
      <c r="B7" s="33"/>
      <c r="C7" s="33"/>
      <c r="D7" s="88" t="s">
        <v>6</v>
      </c>
      <c r="E7" s="88"/>
      <c r="F7" s="88"/>
      <c r="G7" s="39"/>
      <c r="H7" s="89" t="s">
        <v>7</v>
      </c>
      <c r="I7" s="89"/>
      <c r="J7" s="89"/>
      <c r="K7" s="39"/>
      <c r="L7" s="89" t="s">
        <v>8</v>
      </c>
      <c r="M7" s="89"/>
      <c r="N7" s="89"/>
      <c r="O7" s="39"/>
      <c r="P7" s="89" t="s">
        <v>9</v>
      </c>
      <c r="Q7" s="89"/>
      <c r="R7" s="89"/>
      <c r="S7" s="32"/>
      <c r="T7" s="32"/>
      <c r="U7" s="32"/>
      <c r="V7" s="7"/>
      <c r="W7" s="7"/>
    </row>
    <row r="8" spans="1:23" x14ac:dyDescent="0.3">
      <c r="A8" s="33"/>
      <c r="B8" s="33"/>
      <c r="C8" s="33"/>
      <c r="D8" s="32"/>
      <c r="E8" s="32"/>
      <c r="F8" s="32"/>
      <c r="G8" s="33"/>
      <c r="H8" s="33"/>
      <c r="I8" s="32"/>
      <c r="J8" s="33"/>
      <c r="K8" s="33"/>
      <c r="L8" s="33"/>
      <c r="M8" s="32"/>
      <c r="N8" s="32"/>
      <c r="O8" s="32"/>
      <c r="P8" s="32"/>
      <c r="Q8" s="33"/>
      <c r="R8" s="33"/>
      <c r="S8" s="33"/>
      <c r="T8" s="33"/>
      <c r="U8" s="33"/>
    </row>
    <row r="9" spans="1:23" x14ac:dyDescent="0.3">
      <c r="A9" s="33"/>
      <c r="B9" s="44"/>
      <c r="C9" s="44"/>
      <c r="D9" s="45"/>
      <c r="E9" s="45"/>
      <c r="F9" s="45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33"/>
    </row>
    <row r="10" spans="1:23" x14ac:dyDescent="0.3">
      <c r="A10" s="33"/>
      <c r="B10" s="44"/>
      <c r="C10" s="44"/>
      <c r="D10" s="45"/>
      <c r="E10" s="45"/>
      <c r="F10" s="45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33"/>
    </row>
    <row r="11" spans="1:23" x14ac:dyDescent="0.3">
      <c r="A11" s="33"/>
      <c r="B11" s="44"/>
      <c r="C11" s="44"/>
      <c r="D11" s="45"/>
      <c r="E11" s="45"/>
      <c r="F11" s="45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33"/>
    </row>
    <row r="12" spans="1:23" x14ac:dyDescent="0.3">
      <c r="A12" s="33"/>
      <c r="B12" s="44"/>
      <c r="C12" s="44"/>
      <c r="D12" s="44"/>
      <c r="E12" s="45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33"/>
    </row>
    <row r="13" spans="1:23" x14ac:dyDescent="0.3">
      <c r="A13" s="33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33"/>
    </row>
    <row r="14" spans="1:23" x14ac:dyDescent="0.3">
      <c r="A14" s="3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33"/>
    </row>
    <row r="15" spans="1:23" x14ac:dyDescent="0.3">
      <c r="A15" s="33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33"/>
    </row>
    <row r="16" spans="1:23" x14ac:dyDescent="0.3">
      <c r="A16" s="33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33"/>
    </row>
    <row r="17" spans="1:26" x14ac:dyDescent="0.3">
      <c r="A17" s="3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33"/>
    </row>
    <row r="18" spans="1:26" x14ac:dyDescent="0.3">
      <c r="A18" s="3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33"/>
    </row>
    <row r="19" spans="1:26" x14ac:dyDescent="0.3">
      <c r="A19" s="3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33"/>
    </row>
    <row r="20" spans="1:26" x14ac:dyDescent="0.3">
      <c r="A20" s="33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33"/>
    </row>
    <row r="21" spans="1:26" x14ac:dyDescent="0.3">
      <c r="A21" s="3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3"/>
    </row>
    <row r="22" spans="1:26" x14ac:dyDescent="0.3">
      <c r="A22" s="3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3"/>
    </row>
    <row r="23" spans="1:26" x14ac:dyDescent="0.3">
      <c r="A23" s="3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33"/>
    </row>
    <row r="24" spans="1:26" x14ac:dyDescent="0.3">
      <c r="A24" s="3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33"/>
    </row>
    <row r="25" spans="1:26" x14ac:dyDescent="0.3">
      <c r="A25" s="40"/>
      <c r="B25" s="46"/>
      <c r="C25" s="44"/>
      <c r="D25" s="44"/>
      <c r="E25" s="44"/>
      <c r="F25" s="44"/>
      <c r="G25" s="44"/>
      <c r="H25" s="44"/>
      <c r="I25" s="44"/>
      <c r="J25" s="46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32"/>
      <c r="V25" s="7"/>
      <c r="W25" s="7"/>
      <c r="X25" s="7"/>
      <c r="Y25" s="7"/>
    </row>
    <row r="26" spans="1:26" x14ac:dyDescent="0.3">
      <c r="A26" s="33"/>
      <c r="B26" s="44"/>
      <c r="C26" s="44"/>
      <c r="D26" s="44"/>
      <c r="E26" s="44"/>
      <c r="F26" s="44"/>
      <c r="G26" s="44"/>
      <c r="H26" s="44"/>
      <c r="I26" s="44"/>
      <c r="J26" s="45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1"/>
      <c r="V26" s="23"/>
      <c r="W26" s="23"/>
      <c r="X26" s="7"/>
      <c r="Y26" s="7"/>
      <c r="Z26" s="7"/>
    </row>
    <row r="27" spans="1:26" x14ac:dyDescent="0.3">
      <c r="A27" s="33"/>
      <c r="B27" s="44"/>
      <c r="C27" s="44"/>
      <c r="D27" s="44"/>
      <c r="E27" s="44"/>
      <c r="F27" s="44"/>
      <c r="G27" s="44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32"/>
      <c r="V27" s="24"/>
      <c r="W27" s="24"/>
      <c r="X27" s="7"/>
      <c r="Y27" s="7"/>
    </row>
    <row r="28" spans="1:26" ht="12.75" customHeight="1" x14ac:dyDescent="0.35">
      <c r="A28" s="33"/>
      <c r="B28" s="33"/>
      <c r="C28" s="33"/>
      <c r="D28" s="33"/>
      <c r="E28" s="33"/>
      <c r="F28" s="33"/>
      <c r="G28" s="32"/>
      <c r="H28" s="32"/>
      <c r="I28" s="4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24"/>
      <c r="W28" s="13"/>
    </row>
    <row r="29" spans="1:26" ht="18" x14ac:dyDescent="0.35">
      <c r="A29" s="33"/>
      <c r="B29" s="44"/>
      <c r="C29" s="44"/>
      <c r="D29" s="44"/>
      <c r="E29" s="44"/>
      <c r="F29" s="44"/>
      <c r="G29" s="45"/>
      <c r="H29" s="45"/>
      <c r="I29" s="48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32"/>
      <c r="V29" s="24"/>
      <c r="W29" s="13"/>
    </row>
    <row r="30" spans="1:26" ht="18" x14ac:dyDescent="0.3">
      <c r="A30" s="33"/>
      <c r="B30" s="44"/>
      <c r="C30" s="44"/>
      <c r="D30" s="44"/>
      <c r="E30" s="44"/>
      <c r="F30" s="44"/>
      <c r="G30" s="45"/>
      <c r="H30" s="85" t="s">
        <v>10</v>
      </c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7"/>
      <c r="T30" s="45"/>
      <c r="U30" s="33"/>
    </row>
    <row r="31" spans="1:26" x14ac:dyDescent="0.3">
      <c r="A31" s="33"/>
      <c r="B31" s="44"/>
      <c r="C31" s="44"/>
      <c r="D31" s="44"/>
      <c r="E31" s="44"/>
      <c r="F31" s="44"/>
      <c r="G31" s="45"/>
      <c r="H31" s="56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57"/>
      <c r="T31" s="45"/>
      <c r="U31" s="32"/>
      <c r="V31" s="7"/>
      <c r="W31" s="7"/>
    </row>
    <row r="32" spans="1:26" ht="41.4" x14ac:dyDescent="0.3">
      <c r="A32" s="33"/>
      <c r="B32" s="44"/>
      <c r="C32" s="44"/>
      <c r="D32" s="44"/>
      <c r="E32" s="44"/>
      <c r="F32" s="44"/>
      <c r="G32" s="45"/>
      <c r="H32" s="58"/>
      <c r="I32" s="50" t="s">
        <v>11</v>
      </c>
      <c r="J32" s="50" t="s">
        <v>12</v>
      </c>
      <c r="K32" s="50" t="s">
        <v>13</v>
      </c>
      <c r="L32" s="50" t="s">
        <v>14</v>
      </c>
      <c r="M32" s="50" t="s">
        <v>15</v>
      </c>
      <c r="N32" s="50" t="s">
        <v>16</v>
      </c>
      <c r="O32" s="50" t="s">
        <v>17</v>
      </c>
      <c r="P32" s="50" t="s">
        <v>18</v>
      </c>
      <c r="Q32" s="50" t="s">
        <v>19</v>
      </c>
      <c r="R32" s="50" t="s">
        <v>20</v>
      </c>
      <c r="S32" s="59" t="s">
        <v>21</v>
      </c>
      <c r="T32" s="49"/>
      <c r="U32" s="43"/>
    </row>
    <row r="33" spans="1:21" x14ac:dyDescent="0.3">
      <c r="A33" s="33"/>
      <c r="B33" s="44"/>
      <c r="C33" s="44"/>
      <c r="D33" s="44"/>
      <c r="E33" s="44"/>
      <c r="F33" s="44"/>
      <c r="G33" s="45"/>
      <c r="H33" s="60" t="s">
        <v>22</v>
      </c>
      <c r="I33" s="51">
        <v>10</v>
      </c>
      <c r="J33" s="51">
        <v>44</v>
      </c>
      <c r="K33" s="51">
        <v>24</v>
      </c>
      <c r="L33" s="51"/>
      <c r="M33" s="51">
        <v>17</v>
      </c>
      <c r="N33" s="51">
        <v>10</v>
      </c>
      <c r="O33" s="51">
        <v>22</v>
      </c>
      <c r="P33" s="51">
        <v>118</v>
      </c>
      <c r="Q33" s="51">
        <v>85</v>
      </c>
      <c r="R33" s="51">
        <v>32</v>
      </c>
      <c r="S33" s="61">
        <v>22</v>
      </c>
      <c r="T33" s="49"/>
      <c r="U33" s="43"/>
    </row>
    <row r="34" spans="1:21" x14ac:dyDescent="0.3">
      <c r="A34" s="33"/>
      <c r="B34" s="44"/>
      <c r="C34" s="44"/>
      <c r="D34" s="44"/>
      <c r="E34" s="44"/>
      <c r="F34" s="44"/>
      <c r="G34" s="45"/>
      <c r="H34" s="60" t="s">
        <v>23</v>
      </c>
      <c r="I34" s="51">
        <v>20</v>
      </c>
      <c r="J34" s="51">
        <v>30</v>
      </c>
      <c r="K34" s="51">
        <v>25</v>
      </c>
      <c r="L34" s="51">
        <v>17</v>
      </c>
      <c r="M34" s="51">
        <v>85</v>
      </c>
      <c r="N34" s="51">
        <v>23</v>
      </c>
      <c r="O34" s="51">
        <v>20</v>
      </c>
      <c r="P34" s="51">
        <v>79</v>
      </c>
      <c r="Q34" s="51">
        <v>36</v>
      </c>
      <c r="R34" s="51">
        <v>20</v>
      </c>
      <c r="S34" s="61">
        <v>15</v>
      </c>
      <c r="T34" s="49"/>
      <c r="U34" s="43"/>
    </row>
    <row r="35" spans="1:21" x14ac:dyDescent="0.3">
      <c r="A35" s="33"/>
      <c r="B35" s="44"/>
      <c r="C35" s="44"/>
      <c r="D35" s="44"/>
      <c r="E35" s="44"/>
      <c r="F35" s="44"/>
      <c r="G35" s="45"/>
      <c r="H35" s="60" t="s">
        <v>24</v>
      </c>
      <c r="I35" s="51"/>
      <c r="J35" s="51">
        <v>24</v>
      </c>
      <c r="K35" s="51"/>
      <c r="L35" s="51"/>
      <c r="M35" s="51">
        <v>43</v>
      </c>
      <c r="N35" s="51"/>
      <c r="O35" s="51"/>
      <c r="P35" s="51">
        <v>120</v>
      </c>
      <c r="Q35" s="51">
        <v>88</v>
      </c>
      <c r="R35" s="51">
        <v>7</v>
      </c>
      <c r="S35" s="61">
        <v>20</v>
      </c>
      <c r="T35" s="49"/>
      <c r="U35" s="43"/>
    </row>
    <row r="36" spans="1:21" x14ac:dyDescent="0.3">
      <c r="A36" s="33"/>
      <c r="B36" s="44"/>
      <c r="C36" s="44"/>
      <c r="D36" s="44"/>
      <c r="E36" s="44"/>
      <c r="F36" s="44"/>
      <c r="G36" s="45"/>
      <c r="H36" s="60" t="s">
        <v>25</v>
      </c>
      <c r="I36" s="51">
        <v>130</v>
      </c>
      <c r="J36" s="51">
        <v>47</v>
      </c>
      <c r="K36" s="51"/>
      <c r="L36" s="51"/>
      <c r="M36" s="51">
        <v>80</v>
      </c>
      <c r="N36" s="51"/>
      <c r="O36" s="51"/>
      <c r="P36" s="51">
        <v>15</v>
      </c>
      <c r="Q36" s="51">
        <v>45</v>
      </c>
      <c r="R36" s="51">
        <v>15</v>
      </c>
      <c r="S36" s="61"/>
      <c r="T36" s="45"/>
      <c r="U36" s="32"/>
    </row>
    <row r="37" spans="1:21" ht="6.75" customHeight="1" x14ac:dyDescent="0.3">
      <c r="A37" s="33"/>
      <c r="B37" s="44"/>
      <c r="C37" s="44"/>
      <c r="D37" s="44"/>
      <c r="E37" s="44"/>
      <c r="F37" s="44"/>
      <c r="G37" s="45"/>
      <c r="H37" s="56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57"/>
      <c r="T37" s="45"/>
      <c r="U37" s="33"/>
    </row>
    <row r="38" spans="1:21" ht="15" customHeight="1" x14ac:dyDescent="0.3">
      <c r="A38" s="33"/>
      <c r="B38" s="44"/>
      <c r="C38" s="44"/>
      <c r="D38" s="44"/>
      <c r="E38" s="44"/>
      <c r="F38" s="44"/>
      <c r="G38" s="45"/>
      <c r="H38" s="56"/>
      <c r="I38" s="52"/>
      <c r="J38" s="53"/>
      <c r="K38" s="53"/>
      <c r="L38" s="53"/>
      <c r="M38" s="83" t="s">
        <v>26</v>
      </c>
      <c r="N38" s="83"/>
      <c r="O38" s="83"/>
      <c r="P38" s="83"/>
      <c r="Q38" s="53"/>
      <c r="R38" s="53"/>
      <c r="S38" s="62"/>
      <c r="T38" s="45"/>
      <c r="U38" s="33"/>
    </row>
    <row r="39" spans="1:21" ht="20.25" customHeight="1" x14ac:dyDescent="0.3">
      <c r="A39" s="33"/>
      <c r="B39" s="44"/>
      <c r="C39" s="44"/>
      <c r="D39" s="44"/>
      <c r="E39" s="44"/>
      <c r="F39" s="44"/>
      <c r="G39" s="45"/>
      <c r="H39" s="56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57"/>
      <c r="T39" s="45"/>
      <c r="U39" s="33"/>
    </row>
    <row r="40" spans="1:21" x14ac:dyDescent="0.3">
      <c r="A40" s="33"/>
      <c r="B40" s="44"/>
      <c r="C40" s="44"/>
      <c r="D40" s="44"/>
      <c r="E40" s="44"/>
      <c r="F40" s="44"/>
      <c r="G40" s="45"/>
      <c r="H40" s="63"/>
      <c r="I40" s="64"/>
      <c r="J40" s="64"/>
      <c r="K40" s="64"/>
      <c r="L40" s="64"/>
      <c r="M40" s="65" t="s">
        <v>27</v>
      </c>
      <c r="N40" s="65" t="s">
        <v>28</v>
      </c>
      <c r="O40" s="65" t="s">
        <v>29</v>
      </c>
      <c r="P40" s="65" t="s">
        <v>30</v>
      </c>
      <c r="Q40" s="64"/>
      <c r="R40" s="64"/>
      <c r="S40" s="66"/>
      <c r="T40" s="45"/>
      <c r="U40" s="33"/>
    </row>
    <row r="41" spans="1:21" x14ac:dyDescent="0.3">
      <c r="A41" s="33"/>
      <c r="B41" s="44"/>
      <c r="C41" s="44"/>
      <c r="D41" s="44"/>
      <c r="E41" s="44"/>
      <c r="F41" s="44"/>
      <c r="G41" s="44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4"/>
      <c r="U41" s="33"/>
    </row>
    <row r="42" spans="1:21" x14ac:dyDescent="0.3">
      <c r="A42" s="33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33"/>
    </row>
    <row r="43" spans="1:21" x14ac:dyDescent="0.3">
      <c r="A43" s="33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33"/>
    </row>
    <row r="44" spans="1:21" x14ac:dyDescent="0.3">
      <c r="A44" s="3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33"/>
    </row>
    <row r="45" spans="1:21" x14ac:dyDescent="0.3">
      <c r="A45" s="33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33"/>
    </row>
    <row r="46" spans="1:21" x14ac:dyDescent="0.3">
      <c r="A46" s="33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33"/>
    </row>
    <row r="47" spans="1:21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</row>
    <row r="48" spans="1:21" x14ac:dyDescent="0.3">
      <c r="A48" s="33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33"/>
    </row>
    <row r="49" spans="1:21" x14ac:dyDescent="0.3">
      <c r="A49" s="3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33"/>
    </row>
    <row r="50" spans="1:21" x14ac:dyDescent="0.3">
      <c r="A50" s="3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33"/>
    </row>
    <row r="51" spans="1:21" x14ac:dyDescent="0.3">
      <c r="A51" s="33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33"/>
    </row>
    <row r="52" spans="1:21" x14ac:dyDescent="0.3">
      <c r="A52" s="33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33"/>
    </row>
    <row r="53" spans="1:21" x14ac:dyDescent="0.3">
      <c r="A53" s="33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33"/>
    </row>
    <row r="54" spans="1:21" x14ac:dyDescent="0.3">
      <c r="A54" s="33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33"/>
    </row>
    <row r="55" spans="1:21" x14ac:dyDescent="0.3">
      <c r="A55" s="3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33"/>
    </row>
    <row r="56" spans="1:21" x14ac:dyDescent="0.3">
      <c r="A56" s="33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33"/>
    </row>
    <row r="57" spans="1:21" x14ac:dyDescent="0.3">
      <c r="A57" s="33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33"/>
    </row>
    <row r="58" spans="1:21" x14ac:dyDescent="0.3">
      <c r="A58" s="33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33"/>
    </row>
    <row r="59" spans="1:21" x14ac:dyDescent="0.3">
      <c r="A59" s="33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33"/>
    </row>
    <row r="60" spans="1:21" x14ac:dyDescent="0.3">
      <c r="A60" s="33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33"/>
    </row>
    <row r="61" spans="1:21" x14ac:dyDescent="0.3">
      <c r="A61" s="3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33"/>
    </row>
    <row r="62" spans="1:21" x14ac:dyDescent="0.3">
      <c r="A62" s="3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33"/>
    </row>
    <row r="63" spans="1:21" x14ac:dyDescent="0.3">
      <c r="A63" s="3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33"/>
    </row>
    <row r="64" spans="1:21" x14ac:dyDescent="0.3">
      <c r="A64" s="3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33"/>
    </row>
    <row r="65" spans="1:21" x14ac:dyDescent="0.3">
      <c r="A65" s="3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33"/>
    </row>
    <row r="66" spans="1:21" x14ac:dyDescent="0.3">
      <c r="A66" s="3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33"/>
    </row>
    <row r="67" spans="1:21" x14ac:dyDescent="0.3">
      <c r="A67" s="3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33"/>
    </row>
    <row r="68" spans="1:21" x14ac:dyDescent="0.3">
      <c r="A68" s="3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33"/>
    </row>
    <row r="69" spans="1:21" x14ac:dyDescent="0.3">
      <c r="A69" s="33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33"/>
    </row>
    <row r="70" spans="1:21" x14ac:dyDescent="0.3">
      <c r="A70" s="3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33"/>
    </row>
    <row r="71" spans="1:21" x14ac:dyDescent="0.3">
      <c r="A71" s="33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33"/>
    </row>
    <row r="72" spans="1:21" x14ac:dyDescent="0.3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</row>
  </sheetData>
  <mergeCells count="15">
    <mergeCell ref="P6:R6"/>
    <mergeCell ref="D6:F6"/>
    <mergeCell ref="M38:P38"/>
    <mergeCell ref="Q3:U3"/>
    <mergeCell ref="H30:S30"/>
    <mergeCell ref="D7:F7"/>
    <mergeCell ref="H7:J7"/>
    <mergeCell ref="L7:N7"/>
    <mergeCell ref="P7:R7"/>
    <mergeCell ref="D5:F5"/>
    <mergeCell ref="H5:J5"/>
    <mergeCell ref="L5:N5"/>
    <mergeCell ref="P5:R5"/>
    <mergeCell ref="H6:J6"/>
    <mergeCell ref="L6:N6"/>
  </mergeCells>
  <conditionalFormatting sqref="I33:S36">
    <cfRule type="cellIs" dxfId="3" priority="1" operator="between">
      <formula>25</formula>
      <formula>49</formula>
    </cfRule>
    <cfRule type="cellIs" dxfId="2" priority="11" operator="lessThan">
      <formula>25</formula>
    </cfRule>
    <cfRule type="cellIs" dxfId="1" priority="12" operator="between">
      <formula>50</formula>
      <formula>99</formula>
    </cfRule>
    <cfRule type="cellIs" dxfId="0" priority="13" operator="greaterThanOrEqual">
      <formula>100</formula>
    </cfRule>
  </conditionalFormatting>
  <printOptions horizontalCentered="1" verticalCentered="1"/>
  <pageMargins left="0.25" right="0.25" top="0.75" bottom="0.75" header="0.3" footer="0.3"/>
  <pageSetup paperSize="9" scale="1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1000"/>
  <sheetViews>
    <sheetView topLeftCell="A32" workbookViewId="0">
      <selection activeCell="G1" sqref="G1:G1048576"/>
    </sheetView>
  </sheetViews>
  <sheetFormatPr defaultColWidth="12.5546875" defaultRowHeight="15" customHeight="1" x14ac:dyDescent="0.3"/>
  <cols>
    <col min="1" max="1" width="10.44140625" customWidth="1"/>
    <col min="2" max="2" width="9.5546875" customWidth="1"/>
    <col min="3" max="3" width="8.88671875" customWidth="1"/>
    <col min="4" max="4" width="9.44140625" customWidth="1"/>
    <col min="5" max="5" width="9.5546875" customWidth="1"/>
    <col min="6" max="6" width="8.88671875" customWidth="1"/>
    <col min="7" max="8" width="8.5546875" customWidth="1"/>
    <col min="9" max="9" width="13" customWidth="1"/>
    <col min="10" max="10" width="12.88671875" customWidth="1"/>
    <col min="11" max="26" width="8.5546875" customWidth="1"/>
  </cols>
  <sheetData>
    <row r="1" spans="1:7" ht="14.4" x14ac:dyDescent="0.3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</row>
    <row r="2" spans="1:7" ht="14.4" x14ac:dyDescent="0.3">
      <c r="A2" s="2">
        <v>45533</v>
      </c>
      <c r="B2" s="1" t="s">
        <v>37</v>
      </c>
      <c r="C2" s="1">
        <v>422111</v>
      </c>
      <c r="D2" s="1" t="s">
        <v>25</v>
      </c>
      <c r="E2" s="3">
        <v>0.49305555555555558</v>
      </c>
      <c r="F2" s="3">
        <v>0.58680555555555558</v>
      </c>
      <c r="G2" s="14"/>
    </row>
    <row r="3" spans="1:7" ht="14.4" x14ac:dyDescent="0.3">
      <c r="A3" s="2">
        <v>45533</v>
      </c>
      <c r="B3" s="1" t="s">
        <v>38</v>
      </c>
      <c r="C3" s="1">
        <v>422112</v>
      </c>
      <c r="D3" s="1" t="s">
        <v>25</v>
      </c>
      <c r="E3" s="3">
        <v>0.58680555555555558</v>
      </c>
      <c r="F3" s="3">
        <v>0.65625</v>
      </c>
      <c r="G3" s="14"/>
    </row>
    <row r="4" spans="1:7" ht="14.4" x14ac:dyDescent="0.3">
      <c r="A4" s="2">
        <v>45533</v>
      </c>
      <c r="B4" s="1" t="s">
        <v>38</v>
      </c>
      <c r="C4" s="1">
        <v>422113</v>
      </c>
      <c r="D4" s="1" t="s">
        <v>25</v>
      </c>
      <c r="E4" s="3">
        <v>0.65625</v>
      </c>
      <c r="F4" s="3">
        <v>0.73263888888888884</v>
      </c>
      <c r="G4" s="14"/>
    </row>
    <row r="5" spans="1:7" ht="14.4" x14ac:dyDescent="0.3">
      <c r="A5" s="2">
        <v>45533</v>
      </c>
      <c r="B5" s="1" t="s">
        <v>38</v>
      </c>
      <c r="C5" s="1">
        <v>422114</v>
      </c>
      <c r="D5" s="1" t="s">
        <v>25</v>
      </c>
      <c r="E5" s="3">
        <v>0.73263888888888884</v>
      </c>
      <c r="F5" s="3">
        <v>0.80208333333333326</v>
      </c>
      <c r="G5" s="14"/>
    </row>
    <row r="6" spans="1:7" ht="14.4" x14ac:dyDescent="0.3">
      <c r="A6" s="2">
        <v>45533</v>
      </c>
      <c r="B6" s="1" t="s">
        <v>38</v>
      </c>
      <c r="C6" s="1">
        <v>422115</v>
      </c>
      <c r="D6" s="1" t="s">
        <v>22</v>
      </c>
      <c r="E6" s="3">
        <v>0.80208333333333326</v>
      </c>
      <c r="F6" s="3">
        <v>0.86041666666666661</v>
      </c>
      <c r="G6" s="14"/>
    </row>
    <row r="7" spans="1:7" ht="14.4" x14ac:dyDescent="0.3">
      <c r="A7" s="2">
        <v>45533</v>
      </c>
      <c r="B7" s="1" t="s">
        <v>38</v>
      </c>
      <c r="C7" s="1">
        <v>422116</v>
      </c>
      <c r="D7" s="1" t="s">
        <v>22</v>
      </c>
      <c r="E7" s="3">
        <v>0.86041666666666661</v>
      </c>
      <c r="F7" s="3">
        <v>0.90208333333333324</v>
      </c>
      <c r="G7" s="14"/>
    </row>
    <row r="8" spans="1:7" ht="14.4" x14ac:dyDescent="0.3">
      <c r="A8" s="2">
        <v>45533</v>
      </c>
      <c r="B8" s="1" t="s">
        <v>38</v>
      </c>
      <c r="C8" s="1">
        <v>422117</v>
      </c>
      <c r="D8" s="1" t="s">
        <v>22</v>
      </c>
      <c r="E8" s="3">
        <v>0.90208333333333324</v>
      </c>
      <c r="F8" s="3">
        <v>0.95416666666666661</v>
      </c>
      <c r="G8" s="14"/>
    </row>
    <row r="9" spans="1:7" ht="14.4" x14ac:dyDescent="0.3">
      <c r="A9" s="2">
        <v>45534</v>
      </c>
      <c r="B9" s="1" t="s">
        <v>39</v>
      </c>
      <c r="C9" s="1">
        <v>422118</v>
      </c>
      <c r="D9" s="1" t="s">
        <v>23</v>
      </c>
      <c r="E9" s="3">
        <v>0.1701388888888889</v>
      </c>
      <c r="F9" s="3">
        <v>0.25347222222222221</v>
      </c>
      <c r="G9" s="14"/>
    </row>
    <row r="10" spans="1:7" ht="14.4" x14ac:dyDescent="0.3">
      <c r="A10" s="2">
        <v>45534</v>
      </c>
      <c r="B10" s="1" t="s">
        <v>39</v>
      </c>
      <c r="C10" s="1">
        <v>422119</v>
      </c>
      <c r="D10" s="1" t="s">
        <v>23</v>
      </c>
      <c r="E10" s="3">
        <v>0.25347222222222221</v>
      </c>
      <c r="F10" s="3">
        <v>0.3125</v>
      </c>
      <c r="G10" s="14"/>
    </row>
    <row r="11" spans="1:7" ht="14.4" x14ac:dyDescent="0.3">
      <c r="A11" s="2">
        <v>45534</v>
      </c>
      <c r="B11" s="1" t="s">
        <v>39</v>
      </c>
      <c r="C11" s="1">
        <v>422120</v>
      </c>
      <c r="D11" s="1" t="s">
        <v>23</v>
      </c>
      <c r="E11" s="3">
        <v>0.3125</v>
      </c>
      <c r="F11" s="3">
        <v>0.39027777777777778</v>
      </c>
      <c r="G11" s="14"/>
    </row>
    <row r="12" spans="1:7" ht="14.4" x14ac:dyDescent="0.3">
      <c r="A12" s="2">
        <v>45534</v>
      </c>
      <c r="B12" s="1" t="s">
        <v>39</v>
      </c>
      <c r="C12" s="1">
        <v>422121</v>
      </c>
      <c r="D12" s="1" t="s">
        <v>24</v>
      </c>
      <c r="E12" s="3">
        <v>0.39027777777777778</v>
      </c>
      <c r="F12" s="3">
        <v>0.44236111111111109</v>
      </c>
      <c r="G12" s="14"/>
    </row>
    <row r="13" spans="1:7" ht="14.4" x14ac:dyDescent="0.3">
      <c r="A13" s="2">
        <v>45534</v>
      </c>
      <c r="B13" s="1" t="s">
        <v>39</v>
      </c>
      <c r="C13" s="1">
        <v>422122</v>
      </c>
      <c r="D13" s="1" t="s">
        <v>24</v>
      </c>
      <c r="E13" s="3">
        <v>0.44236111111111109</v>
      </c>
      <c r="F13" s="3">
        <v>0.50138888888888888</v>
      </c>
      <c r="G13" s="14"/>
    </row>
    <row r="14" spans="1:7" ht="14.4" x14ac:dyDescent="0.3">
      <c r="A14" s="2">
        <v>45534</v>
      </c>
      <c r="B14" s="1" t="s">
        <v>39</v>
      </c>
      <c r="C14" s="1">
        <v>422123</v>
      </c>
      <c r="D14" s="1" t="s">
        <v>24</v>
      </c>
      <c r="E14" s="3">
        <v>0.50138888888888888</v>
      </c>
      <c r="F14" s="3">
        <v>0.59375</v>
      </c>
      <c r="G14" s="14"/>
    </row>
    <row r="15" spans="1:7" ht="14.4" x14ac:dyDescent="0.3">
      <c r="A15" s="2">
        <v>45534</v>
      </c>
      <c r="B15" s="1" t="s">
        <v>39</v>
      </c>
      <c r="C15" s="1">
        <v>422124</v>
      </c>
      <c r="D15" s="1" t="s">
        <v>24</v>
      </c>
      <c r="E15" s="3">
        <v>0.59375</v>
      </c>
      <c r="F15" s="3">
        <v>0.66319444444444442</v>
      </c>
      <c r="G15" s="14"/>
    </row>
    <row r="16" spans="1:7" ht="14.4" x14ac:dyDescent="0.3">
      <c r="A16" s="2">
        <v>45534</v>
      </c>
      <c r="B16" s="1" t="s">
        <v>39</v>
      </c>
      <c r="C16" s="1">
        <v>422125</v>
      </c>
      <c r="D16" s="1" t="s">
        <v>22</v>
      </c>
      <c r="E16" s="3">
        <v>0.66319444444444442</v>
      </c>
      <c r="F16" s="3">
        <v>0.71875</v>
      </c>
      <c r="G16" s="14"/>
    </row>
    <row r="17" spans="1:7" ht="14.4" x14ac:dyDescent="0.3">
      <c r="A17" s="2">
        <v>45534</v>
      </c>
      <c r="B17" s="1" t="s">
        <v>39</v>
      </c>
      <c r="C17" s="1">
        <v>422126</v>
      </c>
      <c r="D17" s="1" t="s">
        <v>22</v>
      </c>
      <c r="E17" s="3">
        <v>0.71875</v>
      </c>
      <c r="F17" s="3">
        <v>0.79097222222222219</v>
      </c>
      <c r="G17" s="14"/>
    </row>
    <row r="18" spans="1:7" ht="14.4" x14ac:dyDescent="0.3">
      <c r="A18" s="2">
        <v>45534</v>
      </c>
      <c r="B18" s="1" t="s">
        <v>39</v>
      </c>
      <c r="C18" s="1">
        <v>422127</v>
      </c>
      <c r="D18" s="1" t="s">
        <v>22</v>
      </c>
      <c r="E18" s="3">
        <v>0.79097222222222219</v>
      </c>
      <c r="F18" s="3">
        <v>0.84861111111111109</v>
      </c>
      <c r="G18" s="14"/>
    </row>
    <row r="19" spans="1:7" ht="14.4" x14ac:dyDescent="0.3">
      <c r="A19" s="2">
        <v>45534</v>
      </c>
      <c r="B19" s="1" t="s">
        <v>39</v>
      </c>
      <c r="C19" s="1">
        <v>422128</v>
      </c>
      <c r="D19" s="1" t="s">
        <v>22</v>
      </c>
      <c r="E19" s="3">
        <v>0.84861111111111109</v>
      </c>
      <c r="F19" s="3">
        <v>0.92638888888888893</v>
      </c>
      <c r="G19" s="14"/>
    </row>
    <row r="20" spans="1:7" ht="14.4" x14ac:dyDescent="0.3">
      <c r="A20" s="2">
        <v>45534</v>
      </c>
      <c r="B20" s="1" t="s">
        <v>39</v>
      </c>
      <c r="C20" s="1">
        <v>422129</v>
      </c>
      <c r="D20" s="1" t="s">
        <v>22</v>
      </c>
      <c r="E20" s="3">
        <v>0.92638888888888893</v>
      </c>
      <c r="F20" s="3">
        <v>0.97847222222222219</v>
      </c>
      <c r="G20" s="14"/>
    </row>
    <row r="21" spans="1:7" ht="15.75" customHeight="1" x14ac:dyDescent="0.3">
      <c r="A21" s="2">
        <v>45535</v>
      </c>
      <c r="B21" s="1" t="s">
        <v>39</v>
      </c>
      <c r="C21" s="1">
        <v>422130</v>
      </c>
      <c r="D21" s="1" t="s">
        <v>23</v>
      </c>
      <c r="E21" s="3">
        <v>0.32291666666666669</v>
      </c>
      <c r="F21" s="3">
        <v>0.37847222222222221</v>
      </c>
      <c r="G21" s="14"/>
    </row>
    <row r="22" spans="1:7" ht="15.75" customHeight="1" x14ac:dyDescent="0.3">
      <c r="A22" s="2">
        <v>45535</v>
      </c>
      <c r="B22" s="1" t="s">
        <v>39</v>
      </c>
      <c r="C22" s="1">
        <v>422131</v>
      </c>
      <c r="D22" s="1" t="s">
        <v>23</v>
      </c>
      <c r="E22" s="3">
        <v>0.37847222222222221</v>
      </c>
      <c r="F22" s="3">
        <v>0.44097222222222221</v>
      </c>
      <c r="G22" s="14"/>
    </row>
    <row r="23" spans="1:7" ht="15.75" customHeight="1" x14ac:dyDescent="0.3">
      <c r="A23" s="2">
        <v>45535</v>
      </c>
      <c r="B23" s="1" t="s">
        <v>39</v>
      </c>
      <c r="C23" s="1">
        <v>422132</v>
      </c>
      <c r="D23" s="1" t="s">
        <v>23</v>
      </c>
      <c r="E23" s="3">
        <v>0.44097222222222221</v>
      </c>
      <c r="F23" s="3">
        <v>0.4826388888888889</v>
      </c>
      <c r="G23" s="14"/>
    </row>
    <row r="24" spans="1:7" ht="15.75" customHeight="1" x14ac:dyDescent="0.3">
      <c r="A24" s="2">
        <v>45535</v>
      </c>
      <c r="B24" s="1" t="s">
        <v>40</v>
      </c>
      <c r="C24" s="1">
        <v>422133</v>
      </c>
      <c r="D24" s="1" t="s">
        <v>23</v>
      </c>
      <c r="E24" s="3">
        <v>0.4826388888888889</v>
      </c>
      <c r="F24" s="3">
        <v>0.53819444444444442</v>
      </c>
      <c r="G24" s="14"/>
    </row>
    <row r="25" spans="1:7" ht="15.75" customHeight="1" x14ac:dyDescent="0.3">
      <c r="A25" s="2">
        <v>45535</v>
      </c>
      <c r="B25" s="1" t="s">
        <v>40</v>
      </c>
      <c r="C25" s="1">
        <v>422134</v>
      </c>
      <c r="D25" s="1" t="s">
        <v>25</v>
      </c>
      <c r="E25" s="3">
        <v>0.53819444444444442</v>
      </c>
      <c r="F25" s="3">
        <v>0.61458333333333337</v>
      </c>
      <c r="G25" s="14"/>
    </row>
    <row r="26" spans="1:7" ht="15.75" customHeight="1" x14ac:dyDescent="0.3">
      <c r="A26" s="2">
        <v>45535</v>
      </c>
      <c r="B26" s="1" t="s">
        <v>40</v>
      </c>
      <c r="C26" s="1">
        <v>422135</v>
      </c>
      <c r="D26" s="1" t="s">
        <v>25</v>
      </c>
      <c r="E26" s="3">
        <v>0.61458333333333337</v>
      </c>
      <c r="F26" s="3">
        <v>0.6875</v>
      </c>
      <c r="G26" s="14"/>
    </row>
    <row r="27" spans="1:7" ht="15.75" customHeight="1" x14ac:dyDescent="0.3">
      <c r="A27" s="2">
        <v>45535</v>
      </c>
      <c r="B27" s="1" t="s">
        <v>40</v>
      </c>
      <c r="C27" s="1">
        <v>422136</v>
      </c>
      <c r="D27" s="1" t="s">
        <v>25</v>
      </c>
      <c r="E27" s="3">
        <v>0.6875</v>
      </c>
      <c r="F27" s="3">
        <v>0.72916666666666663</v>
      </c>
      <c r="G27" s="14"/>
    </row>
    <row r="28" spans="1:7" ht="15.75" customHeight="1" x14ac:dyDescent="0.3">
      <c r="A28" s="2">
        <v>45537</v>
      </c>
      <c r="B28" s="1" t="s">
        <v>41</v>
      </c>
      <c r="C28" s="1">
        <v>422137</v>
      </c>
      <c r="D28" s="1" t="s">
        <v>23</v>
      </c>
      <c r="E28" s="3">
        <v>4.1666666666666664E-2</v>
      </c>
      <c r="F28" s="3">
        <v>0.11458333333333333</v>
      </c>
      <c r="G28" s="14"/>
    </row>
    <row r="29" spans="1:7" ht="15.75" customHeight="1" x14ac:dyDescent="0.3">
      <c r="A29" s="2">
        <v>45537</v>
      </c>
      <c r="B29" s="1" t="s">
        <v>41</v>
      </c>
      <c r="C29" s="1">
        <v>422138</v>
      </c>
      <c r="D29" s="1" t="s">
        <v>23</v>
      </c>
      <c r="E29" s="3">
        <v>0.11458333333333333</v>
      </c>
      <c r="F29" s="3">
        <v>0.1701388888888889</v>
      </c>
      <c r="G29" s="14"/>
    </row>
    <row r="30" spans="1:7" ht="15.75" customHeight="1" x14ac:dyDescent="0.3">
      <c r="A30" s="2">
        <v>45537</v>
      </c>
      <c r="B30" s="1" t="s">
        <v>41</v>
      </c>
      <c r="C30" s="1">
        <v>422139</v>
      </c>
      <c r="D30" s="1" t="s">
        <v>23</v>
      </c>
      <c r="E30" s="3">
        <v>0.1701388888888889</v>
      </c>
      <c r="F30" s="3">
        <v>0.2361111111111111</v>
      </c>
      <c r="G30" s="14"/>
    </row>
    <row r="31" spans="1:7" ht="15.75" customHeight="1" x14ac:dyDescent="0.3">
      <c r="A31" s="2">
        <v>45537</v>
      </c>
      <c r="B31" s="1" t="s">
        <v>41</v>
      </c>
      <c r="C31" s="1">
        <v>422140</v>
      </c>
      <c r="D31" s="1" t="s">
        <v>23</v>
      </c>
      <c r="E31" s="3">
        <v>0.2361111111111111</v>
      </c>
      <c r="F31" s="3">
        <v>0.3215277777777778</v>
      </c>
      <c r="G31" s="14"/>
    </row>
    <row r="32" spans="1:7" ht="15.75" customHeight="1" x14ac:dyDescent="0.3">
      <c r="A32" s="2">
        <v>45537</v>
      </c>
      <c r="B32" s="1" t="s">
        <v>41</v>
      </c>
      <c r="C32" s="1">
        <v>422141</v>
      </c>
      <c r="D32" s="1" t="s">
        <v>24</v>
      </c>
      <c r="E32" s="3">
        <v>0.3215277777777778</v>
      </c>
      <c r="F32" s="3">
        <v>0.36805555555555558</v>
      </c>
      <c r="G32" s="14"/>
    </row>
    <row r="33" spans="1:7" ht="15.75" customHeight="1" x14ac:dyDescent="0.3">
      <c r="A33" s="2">
        <v>45537</v>
      </c>
      <c r="B33" s="1" t="s">
        <v>41</v>
      </c>
      <c r="C33" s="1">
        <v>422142</v>
      </c>
      <c r="D33" s="1" t="s">
        <v>24</v>
      </c>
      <c r="E33" s="3">
        <v>0.36805555555555558</v>
      </c>
      <c r="F33" s="3">
        <v>0.43055555555555558</v>
      </c>
      <c r="G33" s="14"/>
    </row>
    <row r="34" spans="1:7" ht="15.75" customHeight="1" x14ac:dyDescent="0.3">
      <c r="A34" s="2">
        <v>45537</v>
      </c>
      <c r="B34" s="1" t="s">
        <v>41</v>
      </c>
      <c r="C34" s="1">
        <v>422143</v>
      </c>
      <c r="D34" s="1" t="s">
        <v>24</v>
      </c>
      <c r="E34" s="3">
        <v>0.43055555555555558</v>
      </c>
      <c r="F34" s="3">
        <v>0.51249999999999996</v>
      </c>
      <c r="G34" s="14"/>
    </row>
    <row r="35" spans="1:7" ht="15.75" customHeight="1" x14ac:dyDescent="0.3">
      <c r="A35" s="2">
        <v>45537</v>
      </c>
      <c r="B35" s="1" t="s">
        <v>42</v>
      </c>
      <c r="C35" s="1">
        <v>422144</v>
      </c>
      <c r="D35" s="1" t="s">
        <v>24</v>
      </c>
      <c r="E35" s="3">
        <v>0.51249999999999996</v>
      </c>
      <c r="F35" s="3">
        <v>0.61805555555555558</v>
      </c>
      <c r="G35" s="14"/>
    </row>
    <row r="36" spans="1:7" ht="15.75" customHeight="1" x14ac:dyDescent="0.3">
      <c r="A36" s="2">
        <v>45537</v>
      </c>
      <c r="B36" s="1" t="s">
        <v>42</v>
      </c>
      <c r="C36" s="1">
        <v>422145</v>
      </c>
      <c r="D36" s="1" t="s">
        <v>22</v>
      </c>
      <c r="E36" s="3">
        <v>0.61805555555555558</v>
      </c>
      <c r="F36" s="3">
        <v>0.70138888888888895</v>
      </c>
      <c r="G36" s="14"/>
    </row>
    <row r="37" spans="1:7" ht="15.75" customHeight="1" x14ac:dyDescent="0.3">
      <c r="A37" s="2">
        <v>45537</v>
      </c>
      <c r="B37" s="1" t="s">
        <v>42</v>
      </c>
      <c r="C37" s="1">
        <v>422146</v>
      </c>
      <c r="D37" s="1" t="s">
        <v>22</v>
      </c>
      <c r="E37" s="3">
        <v>0.70138888888888895</v>
      </c>
      <c r="F37" s="3">
        <v>0.8125</v>
      </c>
      <c r="G37" s="14"/>
    </row>
    <row r="38" spans="1:7" ht="15.75" customHeight="1" x14ac:dyDescent="0.3">
      <c r="A38" s="2">
        <v>45537</v>
      </c>
      <c r="B38" s="1" t="s">
        <v>42</v>
      </c>
      <c r="C38" s="1">
        <v>422147</v>
      </c>
      <c r="D38" s="1" t="s">
        <v>22</v>
      </c>
      <c r="E38" s="3">
        <v>0.8125</v>
      </c>
      <c r="F38" s="3">
        <v>0.95486111111111116</v>
      </c>
      <c r="G38" s="14"/>
    </row>
    <row r="39" spans="1:7" ht="15.75" customHeight="1" x14ac:dyDescent="0.3">
      <c r="A39" s="2">
        <v>45538</v>
      </c>
      <c r="B39" s="1" t="s">
        <v>42</v>
      </c>
      <c r="C39" s="1">
        <v>422148</v>
      </c>
      <c r="D39" s="1" t="s">
        <v>25</v>
      </c>
      <c r="E39" s="3">
        <v>0.95486111111111116</v>
      </c>
      <c r="F39" s="3">
        <v>1.0451388888888888</v>
      </c>
      <c r="G39" s="14"/>
    </row>
    <row r="40" spans="1:7" ht="15.75" customHeight="1" x14ac:dyDescent="0.3">
      <c r="B40" s="1"/>
      <c r="C40" s="1"/>
      <c r="D40" s="1"/>
    </row>
    <row r="41" spans="1:7" ht="15.75" customHeight="1" x14ac:dyDescent="0.3"/>
    <row r="42" spans="1:7" ht="15.75" customHeight="1" x14ac:dyDescent="0.3"/>
    <row r="43" spans="1:7" ht="15.75" customHeight="1" x14ac:dyDescent="0.3"/>
    <row r="44" spans="1:7" ht="15.75" customHeight="1" x14ac:dyDescent="0.3"/>
    <row r="45" spans="1:7" ht="15.75" customHeight="1" x14ac:dyDescent="0.3"/>
    <row r="46" spans="1:7" ht="15.75" customHeight="1" x14ac:dyDescent="0.3"/>
    <row r="47" spans="1:7" ht="15.75" customHeight="1" x14ac:dyDescent="0.3"/>
    <row r="48" spans="1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D1000"/>
  <sheetViews>
    <sheetView workbookViewId="0"/>
  </sheetViews>
  <sheetFormatPr defaultColWidth="12.5546875" defaultRowHeight="15" customHeight="1" x14ac:dyDescent="0.3"/>
  <cols>
    <col min="1" max="1" width="8.5546875" customWidth="1"/>
    <col min="2" max="2" width="11.109375" customWidth="1"/>
    <col min="3" max="3" width="8.5546875" customWidth="1"/>
    <col min="4" max="4" width="14.44140625" customWidth="1"/>
    <col min="5" max="26" width="8.5546875" customWidth="1"/>
  </cols>
  <sheetData>
    <row r="1" spans="1:4" ht="14.4" x14ac:dyDescent="0.3">
      <c r="A1" s="10" t="s">
        <v>32</v>
      </c>
      <c r="B1" s="10" t="s">
        <v>43</v>
      </c>
      <c r="C1" s="10" t="s">
        <v>44</v>
      </c>
      <c r="D1" s="10" t="s">
        <v>45</v>
      </c>
    </row>
    <row r="2" spans="1:4" ht="14.4" x14ac:dyDescent="0.3">
      <c r="A2" s="1" t="s">
        <v>37</v>
      </c>
      <c r="B2" s="1" t="s">
        <v>46</v>
      </c>
      <c r="C2" s="1" t="s">
        <v>47</v>
      </c>
      <c r="D2" s="1">
        <v>60</v>
      </c>
    </row>
    <row r="3" spans="1:4" ht="14.4" x14ac:dyDescent="0.3">
      <c r="A3" s="1" t="s">
        <v>38</v>
      </c>
      <c r="B3" s="1" t="s">
        <v>48</v>
      </c>
      <c r="C3" s="1" t="s">
        <v>47</v>
      </c>
      <c r="D3" s="1">
        <v>60</v>
      </c>
    </row>
    <row r="4" spans="1:4" ht="14.4" x14ac:dyDescent="0.3">
      <c r="A4" s="1" t="s">
        <v>39</v>
      </c>
      <c r="B4" s="1" t="s">
        <v>49</v>
      </c>
      <c r="C4" s="1" t="s">
        <v>47</v>
      </c>
      <c r="D4" s="1">
        <v>60</v>
      </c>
    </row>
    <row r="5" spans="1:4" ht="14.4" x14ac:dyDescent="0.3">
      <c r="A5" s="1" t="s">
        <v>40</v>
      </c>
      <c r="B5" s="1" t="s">
        <v>50</v>
      </c>
      <c r="C5" s="1" t="s">
        <v>47</v>
      </c>
      <c r="D5" s="1">
        <v>60</v>
      </c>
    </row>
    <row r="6" spans="1:4" ht="14.4" x14ac:dyDescent="0.3">
      <c r="A6" s="1" t="s">
        <v>41</v>
      </c>
      <c r="B6" s="1" t="s">
        <v>51</v>
      </c>
      <c r="C6" s="1" t="s">
        <v>47</v>
      </c>
      <c r="D6" s="1">
        <v>60</v>
      </c>
    </row>
    <row r="7" spans="1:4" ht="14.4" x14ac:dyDescent="0.3">
      <c r="A7" s="1" t="s">
        <v>42</v>
      </c>
      <c r="B7" s="1" t="s">
        <v>49</v>
      </c>
      <c r="C7" s="1" t="s">
        <v>52</v>
      </c>
      <c r="D7" s="1">
        <v>98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C1000"/>
  <sheetViews>
    <sheetView workbookViewId="0">
      <selection activeCell="D2" sqref="D2:E2"/>
    </sheetView>
  </sheetViews>
  <sheetFormatPr defaultColWidth="12.5546875" defaultRowHeight="15" customHeight="1" x14ac:dyDescent="0.3"/>
  <cols>
    <col min="1" max="1" width="8.88671875" customWidth="1"/>
    <col min="2" max="2" width="19.33203125" customWidth="1"/>
    <col min="3" max="3" width="14" customWidth="1"/>
    <col min="4" max="26" width="8.5546875" customWidth="1"/>
  </cols>
  <sheetData>
    <row r="1" spans="1:3" ht="14.4" x14ac:dyDescent="0.3">
      <c r="A1" s="10" t="s">
        <v>53</v>
      </c>
      <c r="B1" s="10" t="s">
        <v>54</v>
      </c>
      <c r="C1" s="10" t="s">
        <v>55</v>
      </c>
    </row>
    <row r="2" spans="1:3" ht="14.4" x14ac:dyDescent="0.3">
      <c r="A2" s="11">
        <v>1</v>
      </c>
      <c r="B2" s="1" t="s">
        <v>56</v>
      </c>
      <c r="C2" s="1" t="s">
        <v>57</v>
      </c>
    </row>
    <row r="3" spans="1:3" ht="14.4" x14ac:dyDescent="0.3">
      <c r="A3" s="11">
        <v>2</v>
      </c>
      <c r="B3" s="1" t="s">
        <v>11</v>
      </c>
      <c r="C3" s="1" t="s">
        <v>58</v>
      </c>
    </row>
    <row r="4" spans="1:3" ht="14.4" x14ac:dyDescent="0.3">
      <c r="A4" s="11">
        <v>3</v>
      </c>
      <c r="B4" s="1" t="s">
        <v>17</v>
      </c>
      <c r="C4" s="1" t="s">
        <v>57</v>
      </c>
    </row>
    <row r="5" spans="1:3" ht="14.4" x14ac:dyDescent="0.3">
      <c r="A5" s="11">
        <v>4</v>
      </c>
      <c r="B5" s="1" t="s">
        <v>15</v>
      </c>
      <c r="C5" s="1" t="s">
        <v>57</v>
      </c>
    </row>
    <row r="6" spans="1:3" ht="14.4" x14ac:dyDescent="0.3">
      <c r="A6" s="11">
        <v>5</v>
      </c>
      <c r="B6" s="1" t="s">
        <v>21</v>
      </c>
      <c r="C6" s="1" t="s">
        <v>58</v>
      </c>
    </row>
    <row r="7" spans="1:3" ht="14.4" x14ac:dyDescent="0.3">
      <c r="A7" s="11">
        <v>6</v>
      </c>
      <c r="B7" s="1" t="s">
        <v>18</v>
      </c>
      <c r="C7" s="1" t="s">
        <v>58</v>
      </c>
    </row>
    <row r="8" spans="1:3" ht="14.4" x14ac:dyDescent="0.3">
      <c r="A8" s="11">
        <v>7</v>
      </c>
      <c r="B8" s="1" t="s">
        <v>19</v>
      </c>
      <c r="C8" s="1" t="s">
        <v>57</v>
      </c>
    </row>
    <row r="9" spans="1:3" ht="14.4" x14ac:dyDescent="0.3">
      <c r="A9" s="11">
        <v>8</v>
      </c>
      <c r="B9" s="1" t="s">
        <v>12</v>
      </c>
      <c r="C9" s="1" t="s">
        <v>58</v>
      </c>
    </row>
    <row r="10" spans="1:3" ht="14.4" x14ac:dyDescent="0.3">
      <c r="A10" s="11">
        <v>9</v>
      </c>
      <c r="B10" s="1" t="s">
        <v>14</v>
      </c>
      <c r="C10" s="1" t="s">
        <v>57</v>
      </c>
    </row>
    <row r="11" spans="1:3" ht="14.4" x14ac:dyDescent="0.3">
      <c r="A11" s="11">
        <v>10</v>
      </c>
      <c r="B11" s="1" t="s">
        <v>13</v>
      </c>
      <c r="C11" s="1" t="s">
        <v>58</v>
      </c>
    </row>
    <row r="12" spans="1:3" ht="14.4" x14ac:dyDescent="0.3">
      <c r="A12" s="11">
        <v>11</v>
      </c>
      <c r="B12" s="1" t="s">
        <v>16</v>
      </c>
      <c r="C12" s="1" t="s">
        <v>58</v>
      </c>
    </row>
    <row r="13" spans="1:3" ht="14.4" x14ac:dyDescent="0.3">
      <c r="A13" s="11">
        <v>12</v>
      </c>
      <c r="B13" s="1" t="s">
        <v>20</v>
      </c>
      <c r="C13" s="1" t="s">
        <v>57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M1000"/>
  <sheetViews>
    <sheetView workbookViewId="0">
      <selection activeCell="B3" sqref="B3"/>
    </sheetView>
  </sheetViews>
  <sheetFormatPr defaultColWidth="12.5546875" defaultRowHeight="15" customHeight="1" x14ac:dyDescent="0.3"/>
  <cols>
    <col min="1" max="1" width="8.88671875" customWidth="1"/>
    <col min="2" max="13" width="5.5546875" customWidth="1"/>
    <col min="14" max="26" width="8.5546875" customWidth="1"/>
  </cols>
  <sheetData>
    <row r="1" spans="1:13" ht="14.4" x14ac:dyDescent="0.3">
      <c r="B1" s="93" t="s">
        <v>59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14.4" x14ac:dyDescent="0.3">
      <c r="A2" s="10" t="s">
        <v>33</v>
      </c>
      <c r="B2" s="10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0">
        <v>7</v>
      </c>
      <c r="I2" s="10">
        <v>8</v>
      </c>
      <c r="J2" s="10">
        <v>9</v>
      </c>
      <c r="K2" s="10">
        <v>10</v>
      </c>
      <c r="L2" s="10">
        <v>11</v>
      </c>
      <c r="M2" s="10">
        <v>12</v>
      </c>
    </row>
    <row r="3" spans="1:13" ht="14.4" x14ac:dyDescent="0.3">
      <c r="A3" s="1">
        <v>422111</v>
      </c>
      <c r="C3" s="1">
        <v>60</v>
      </c>
      <c r="H3" s="1">
        <v>15</v>
      </c>
    </row>
    <row r="4" spans="1:13" ht="14.4" x14ac:dyDescent="0.3">
      <c r="A4" s="1">
        <v>422112</v>
      </c>
      <c r="C4" s="1">
        <v>20</v>
      </c>
      <c r="I4" s="1">
        <v>20</v>
      </c>
    </row>
    <row r="5" spans="1:13" ht="14.4" x14ac:dyDescent="0.3">
      <c r="A5" s="1">
        <v>422113</v>
      </c>
      <c r="C5" s="1">
        <v>50</v>
      </c>
    </row>
    <row r="6" spans="1:13" ht="14.4" x14ac:dyDescent="0.3">
      <c r="A6" s="1">
        <v>422114</v>
      </c>
      <c r="E6" s="1">
        <v>25</v>
      </c>
      <c r="G6" s="1">
        <v>15</v>
      </c>
    </row>
    <row r="7" spans="1:13" ht="14.4" x14ac:dyDescent="0.3">
      <c r="A7" s="1">
        <v>422115</v>
      </c>
      <c r="K7" s="1">
        <v>24</v>
      </c>
    </row>
    <row r="8" spans="1:13" ht="14.4" x14ac:dyDescent="0.3">
      <c r="A8" s="1">
        <v>422116</v>
      </c>
    </row>
    <row r="9" spans="1:13" ht="14.4" x14ac:dyDescent="0.3">
      <c r="A9" s="1">
        <v>422117</v>
      </c>
      <c r="C9" s="1">
        <v>10</v>
      </c>
      <c r="G9" s="1">
        <v>5</v>
      </c>
    </row>
    <row r="10" spans="1:13" ht="14.4" x14ac:dyDescent="0.3">
      <c r="A10" s="1">
        <v>422118</v>
      </c>
      <c r="G10" s="1">
        <v>14</v>
      </c>
      <c r="H10" s="1">
        <v>16</v>
      </c>
      <c r="L10" s="1">
        <v>10</v>
      </c>
      <c r="M10" s="1">
        <v>20</v>
      </c>
    </row>
    <row r="11" spans="1:13" ht="14.4" x14ac:dyDescent="0.3">
      <c r="A11" s="1">
        <v>422119</v>
      </c>
      <c r="E11" s="1">
        <v>25</v>
      </c>
    </row>
    <row r="12" spans="1:13" ht="14.4" x14ac:dyDescent="0.3">
      <c r="A12" s="1">
        <v>422120</v>
      </c>
      <c r="E12" s="1">
        <v>20</v>
      </c>
      <c r="F12" s="1">
        <v>15</v>
      </c>
      <c r="J12" s="1">
        <v>17</v>
      </c>
    </row>
    <row r="13" spans="1:13" ht="14.4" x14ac:dyDescent="0.3">
      <c r="A13" s="1">
        <v>422121</v>
      </c>
      <c r="H13" s="1">
        <v>15</v>
      </c>
    </row>
    <row r="14" spans="1:13" ht="14.4" x14ac:dyDescent="0.3">
      <c r="A14" s="1">
        <v>422122</v>
      </c>
      <c r="H14" s="1">
        <v>25</v>
      </c>
    </row>
    <row r="15" spans="1:13" ht="14.4" x14ac:dyDescent="0.3">
      <c r="A15" s="1">
        <v>422123</v>
      </c>
      <c r="E15" s="1">
        <v>43</v>
      </c>
      <c r="H15" s="1">
        <v>30</v>
      </c>
    </row>
    <row r="16" spans="1:13" ht="14.4" x14ac:dyDescent="0.3">
      <c r="A16" s="1">
        <v>422124</v>
      </c>
      <c r="F16" s="1">
        <v>20</v>
      </c>
      <c r="G16" s="1">
        <v>20</v>
      </c>
    </row>
    <row r="17" spans="1:13" ht="14.4" x14ac:dyDescent="0.3">
      <c r="A17" s="1">
        <v>422125</v>
      </c>
      <c r="L17" s="1">
        <v>10</v>
      </c>
      <c r="M17" s="1">
        <v>10</v>
      </c>
    </row>
    <row r="18" spans="1:13" ht="14.4" x14ac:dyDescent="0.3">
      <c r="A18" s="1">
        <v>422126</v>
      </c>
      <c r="I18" s="1">
        <v>44</v>
      </c>
    </row>
    <row r="19" spans="1:13" ht="14.4" x14ac:dyDescent="0.3">
      <c r="A19" s="1">
        <v>422127</v>
      </c>
      <c r="G19" s="1">
        <v>23</v>
      </c>
    </row>
    <row r="20" spans="1:13" ht="14.4" x14ac:dyDescent="0.3">
      <c r="A20" s="1">
        <v>422128</v>
      </c>
      <c r="F20" s="1">
        <v>22</v>
      </c>
      <c r="H20" s="1">
        <v>30</v>
      </c>
    </row>
    <row r="21" spans="1:13" ht="15.75" customHeight="1" x14ac:dyDescent="0.3">
      <c r="A21" s="1">
        <v>422129</v>
      </c>
      <c r="M21" s="1">
        <v>15</v>
      </c>
    </row>
    <row r="22" spans="1:13" ht="15.75" customHeight="1" x14ac:dyDescent="0.3">
      <c r="A22" s="1">
        <v>422130</v>
      </c>
      <c r="C22" s="1">
        <v>20</v>
      </c>
    </row>
    <row r="23" spans="1:13" ht="15.75" customHeight="1" x14ac:dyDescent="0.3">
      <c r="A23" s="1">
        <v>422131</v>
      </c>
      <c r="E23" s="1">
        <v>20</v>
      </c>
      <c r="K23" s="1">
        <v>10</v>
      </c>
    </row>
    <row r="24" spans="1:13" ht="15.75" customHeight="1" x14ac:dyDescent="0.3">
      <c r="A24" s="1">
        <v>422132</v>
      </c>
    </row>
    <row r="25" spans="1:13" ht="15.75" customHeight="1" x14ac:dyDescent="0.3">
      <c r="A25" s="1">
        <v>422133</v>
      </c>
      <c r="H25" s="1">
        <v>20</v>
      </c>
    </row>
    <row r="26" spans="1:13" ht="15.75" customHeight="1" x14ac:dyDescent="0.3">
      <c r="A26" s="1">
        <v>422134</v>
      </c>
      <c r="H26" s="1">
        <v>30</v>
      </c>
      <c r="I26" s="1">
        <v>20</v>
      </c>
    </row>
    <row r="27" spans="1:13" ht="15.75" customHeight="1" x14ac:dyDescent="0.3">
      <c r="A27" s="1">
        <v>422135</v>
      </c>
      <c r="E27" s="1">
        <v>30</v>
      </c>
      <c r="M27" s="1">
        <v>15</v>
      </c>
    </row>
    <row r="28" spans="1:13" ht="15.75" customHeight="1" x14ac:dyDescent="0.3">
      <c r="A28" s="1">
        <v>422136</v>
      </c>
    </row>
    <row r="29" spans="1:13" ht="15.75" customHeight="1" x14ac:dyDescent="0.3">
      <c r="A29" s="1">
        <v>422137</v>
      </c>
      <c r="I29" s="1">
        <v>30</v>
      </c>
      <c r="K29" s="1">
        <v>15</v>
      </c>
    </row>
    <row r="30" spans="1:13" ht="15.75" customHeight="1" x14ac:dyDescent="0.3">
      <c r="A30" s="1">
        <v>422138</v>
      </c>
      <c r="D30" s="1">
        <v>20</v>
      </c>
    </row>
    <row r="31" spans="1:13" ht="15.75" customHeight="1" x14ac:dyDescent="0.3">
      <c r="A31" s="1">
        <v>422139</v>
      </c>
      <c r="E31" s="1">
        <v>20</v>
      </c>
      <c r="G31" s="1">
        <v>15</v>
      </c>
    </row>
    <row r="32" spans="1:13" ht="15.75" customHeight="1" x14ac:dyDescent="0.3">
      <c r="A32" s="1">
        <v>422140</v>
      </c>
      <c r="G32" s="1">
        <v>50</v>
      </c>
      <c r="L32" s="1">
        <v>13</v>
      </c>
    </row>
    <row r="33" spans="1:13" ht="15.75" customHeight="1" x14ac:dyDescent="0.3">
      <c r="A33" s="1">
        <v>422141</v>
      </c>
      <c r="M33" s="1">
        <v>7</v>
      </c>
    </row>
    <row r="34" spans="1:13" ht="15.75" customHeight="1" x14ac:dyDescent="0.3">
      <c r="A34" s="1">
        <v>422142</v>
      </c>
      <c r="G34" s="1">
        <v>30</v>
      </c>
    </row>
    <row r="35" spans="1:13" ht="15.75" customHeight="1" x14ac:dyDescent="0.3">
      <c r="A35" s="1">
        <v>422143</v>
      </c>
      <c r="G35" s="1">
        <v>40</v>
      </c>
      <c r="H35" s="1">
        <v>18</v>
      </c>
    </row>
    <row r="36" spans="1:13" ht="15.75" customHeight="1" x14ac:dyDescent="0.3">
      <c r="A36" s="1">
        <v>422144</v>
      </c>
      <c r="G36" s="1">
        <v>30</v>
      </c>
      <c r="I36" s="1">
        <v>24</v>
      </c>
    </row>
    <row r="37" spans="1:13" ht="15.75" customHeight="1" x14ac:dyDescent="0.3">
      <c r="A37" s="1">
        <v>422145</v>
      </c>
      <c r="D37" s="1">
        <v>22</v>
      </c>
    </row>
    <row r="38" spans="1:13" ht="15.75" customHeight="1" x14ac:dyDescent="0.3">
      <c r="A38" s="1">
        <v>422146</v>
      </c>
      <c r="G38" s="1">
        <v>30</v>
      </c>
      <c r="H38" s="1">
        <v>25</v>
      </c>
      <c r="M38" s="1">
        <v>7</v>
      </c>
    </row>
    <row r="39" spans="1:13" ht="15.75" customHeight="1" x14ac:dyDescent="0.3">
      <c r="A39" s="1">
        <v>422147</v>
      </c>
      <c r="E39" s="1">
        <v>17</v>
      </c>
      <c r="G39" s="1">
        <v>60</v>
      </c>
      <c r="H39" s="1">
        <v>30</v>
      </c>
    </row>
    <row r="40" spans="1:13" ht="15.75" customHeight="1" x14ac:dyDescent="0.3">
      <c r="A40" s="1">
        <v>422148</v>
      </c>
      <c r="E40" s="1">
        <v>25</v>
      </c>
      <c r="I40" s="1">
        <v>7</v>
      </c>
    </row>
    <row r="41" spans="1:13" ht="15.75" customHeight="1" x14ac:dyDescent="0.3"/>
    <row r="42" spans="1:13" ht="15.75" customHeight="1" x14ac:dyDescent="0.3">
      <c r="A42" s="1" cm="1">
        <f t="array" ref="A42">COUNTA(_xlfn.UNIQUE(_xlfn._xlws.FILTER(A3:A40, A3:A40 &lt;&gt; "")))</f>
        <v>38</v>
      </c>
    </row>
    <row r="43" spans="1:13" ht="15.75" customHeight="1" x14ac:dyDescent="0.3"/>
    <row r="44" spans="1:13" ht="15.75" customHeight="1" x14ac:dyDescent="0.3"/>
    <row r="45" spans="1:13" ht="15.75" customHeight="1" x14ac:dyDescent="0.3"/>
    <row r="46" spans="1:13" ht="15.75" customHeight="1" x14ac:dyDescent="0.3"/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B1:M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983"/>
  <sheetViews>
    <sheetView workbookViewId="0">
      <selection activeCell="C27" sqref="C27"/>
    </sheetView>
  </sheetViews>
  <sheetFormatPr defaultColWidth="12.5546875" defaultRowHeight="15" customHeight="1" x14ac:dyDescent="0.3"/>
  <cols>
    <col min="1" max="1" width="31.6640625" customWidth="1"/>
    <col min="2" max="2" width="59.33203125" customWidth="1"/>
  </cols>
  <sheetData>
    <row r="1" spans="1:3" ht="14.4" x14ac:dyDescent="0.3">
      <c r="A1" s="78" t="s">
        <v>60</v>
      </c>
      <c r="B1" s="79"/>
      <c r="C1" s="7"/>
    </row>
    <row r="2" spans="1:3" ht="14.4" x14ac:dyDescent="0.3">
      <c r="A2" s="6" t="s">
        <v>61</v>
      </c>
      <c r="B2" s="69">
        <v>39</v>
      </c>
      <c r="C2" s="7"/>
    </row>
    <row r="3" spans="1:3" ht="14.4" x14ac:dyDescent="0.3">
      <c r="A3" s="76" t="s">
        <v>62</v>
      </c>
      <c r="B3" s="72">
        <v>6</v>
      </c>
    </row>
    <row r="4" spans="1:3" ht="14.4" x14ac:dyDescent="0.3">
      <c r="A4" s="6" t="s">
        <v>63</v>
      </c>
      <c r="B4" s="69">
        <v>38</v>
      </c>
    </row>
    <row r="5" spans="1:3" ht="14.4" x14ac:dyDescent="0.3">
      <c r="A5" s="6" t="s">
        <v>64</v>
      </c>
      <c r="B5" s="69">
        <v>4</v>
      </c>
    </row>
    <row r="6" spans="1:3" ht="14.4" x14ac:dyDescent="0.3">
      <c r="A6" s="6" t="s">
        <v>65</v>
      </c>
      <c r="B6" s="71">
        <v>6</v>
      </c>
    </row>
    <row r="7" spans="1:3" ht="28.8" x14ac:dyDescent="0.3">
      <c r="A7" s="70" t="s">
        <v>66</v>
      </c>
      <c r="B7" s="69" t="s">
        <v>67</v>
      </c>
      <c r="C7" s="7"/>
    </row>
    <row r="8" spans="1:3" ht="14.4" x14ac:dyDescent="0.3">
      <c r="A8" s="75" t="s">
        <v>68</v>
      </c>
      <c r="B8" s="77" t="s">
        <v>69</v>
      </c>
    </row>
    <row r="9" spans="1:3" ht="14.4" x14ac:dyDescent="0.3">
      <c r="A9" s="6" t="s">
        <v>70</v>
      </c>
      <c r="B9" s="69" t="s">
        <v>71</v>
      </c>
      <c r="C9" s="7"/>
    </row>
    <row r="10" spans="1:3" ht="14.4" x14ac:dyDescent="0.3">
      <c r="A10" s="7"/>
      <c r="B10" s="73"/>
      <c r="C10" s="7"/>
    </row>
    <row r="11" spans="1:3" ht="14.4" x14ac:dyDescent="0.3">
      <c r="A11" s="78" t="s">
        <v>72</v>
      </c>
      <c r="B11" s="79"/>
      <c r="C11" s="7"/>
    </row>
    <row r="12" spans="1:3" ht="14.4" x14ac:dyDescent="0.3">
      <c r="A12" s="6" t="s">
        <v>61</v>
      </c>
      <c r="B12" s="69">
        <v>7</v>
      </c>
      <c r="C12" s="7"/>
    </row>
    <row r="13" spans="1:3" ht="14.4" x14ac:dyDescent="0.3">
      <c r="A13" s="76" t="s">
        <v>62</v>
      </c>
      <c r="B13" s="72">
        <v>4</v>
      </c>
    </row>
    <row r="14" spans="1:3" ht="14.4" x14ac:dyDescent="0.3">
      <c r="A14" s="6" t="s">
        <v>65</v>
      </c>
      <c r="B14" s="69">
        <v>6</v>
      </c>
    </row>
    <row r="15" spans="1:3" ht="14.4" x14ac:dyDescent="0.3">
      <c r="A15" s="75" t="s">
        <v>68</v>
      </c>
      <c r="B15" s="71" t="s">
        <v>69</v>
      </c>
    </row>
    <row r="16" spans="1:3" ht="14.4" x14ac:dyDescent="0.3">
      <c r="A16" s="6" t="s">
        <v>73</v>
      </c>
      <c r="B16" s="69" t="s">
        <v>69</v>
      </c>
      <c r="C16" s="7"/>
    </row>
    <row r="17" spans="1:3" ht="14.4" x14ac:dyDescent="0.3">
      <c r="A17" s="7"/>
      <c r="B17" s="73"/>
      <c r="C17" s="7"/>
    </row>
    <row r="18" spans="1:3" ht="14.4" x14ac:dyDescent="0.3">
      <c r="A18" s="78" t="s">
        <v>74</v>
      </c>
      <c r="B18" s="79"/>
      <c r="C18" s="7"/>
    </row>
    <row r="19" spans="1:3" ht="14.4" x14ac:dyDescent="0.3">
      <c r="A19" s="6" t="s">
        <v>61</v>
      </c>
      <c r="B19" s="69">
        <v>40</v>
      </c>
      <c r="C19" s="7"/>
    </row>
    <row r="20" spans="1:3" ht="14.4" x14ac:dyDescent="0.3">
      <c r="A20" s="76" t="s">
        <v>62</v>
      </c>
      <c r="B20" s="72">
        <v>13</v>
      </c>
    </row>
    <row r="21" spans="1:3" ht="14.4" x14ac:dyDescent="0.3">
      <c r="A21" s="6" t="s">
        <v>63</v>
      </c>
      <c r="B21" s="69">
        <v>38</v>
      </c>
    </row>
    <row r="22" spans="1:3" ht="14.4" x14ac:dyDescent="0.3">
      <c r="A22" s="75" t="s">
        <v>75</v>
      </c>
      <c r="B22" s="71">
        <v>12</v>
      </c>
    </row>
    <row r="23" spans="1:3" ht="158.4" x14ac:dyDescent="0.3">
      <c r="A23" s="6" t="s">
        <v>68</v>
      </c>
      <c r="B23" s="69" t="s">
        <v>76</v>
      </c>
      <c r="C23" s="7"/>
    </row>
    <row r="24" spans="1:3" ht="14.4" x14ac:dyDescent="0.3">
      <c r="A24" s="7"/>
      <c r="B24" s="73"/>
      <c r="C24" s="7"/>
    </row>
    <row r="25" spans="1:3" ht="14.4" x14ac:dyDescent="0.3">
      <c r="A25" s="78" t="s">
        <v>77</v>
      </c>
      <c r="B25" s="79"/>
      <c r="C25" s="7"/>
    </row>
    <row r="26" spans="1:3" ht="14.4" x14ac:dyDescent="0.3">
      <c r="A26" s="6" t="s">
        <v>61</v>
      </c>
      <c r="B26" s="69">
        <v>13</v>
      </c>
      <c r="C26" s="7"/>
    </row>
    <row r="27" spans="1:3" ht="14.4" x14ac:dyDescent="0.3">
      <c r="A27" s="76" t="s">
        <v>62</v>
      </c>
      <c r="B27" s="72">
        <v>3</v>
      </c>
    </row>
    <row r="28" spans="1:3" ht="14.4" x14ac:dyDescent="0.3">
      <c r="A28" s="6" t="s">
        <v>78</v>
      </c>
      <c r="B28" s="69">
        <v>12</v>
      </c>
    </row>
    <row r="29" spans="1:3" ht="14.4" x14ac:dyDescent="0.3">
      <c r="A29" s="6" t="s">
        <v>79</v>
      </c>
      <c r="B29" s="69" t="s">
        <v>80</v>
      </c>
    </row>
    <row r="30" spans="1:3" ht="14.4" x14ac:dyDescent="0.3">
      <c r="B30" s="9"/>
    </row>
    <row r="31" spans="1:3" ht="14.4" x14ac:dyDescent="0.3">
      <c r="A31" s="8" t="s">
        <v>81</v>
      </c>
      <c r="B31" s="73"/>
    </row>
    <row r="32" spans="1:3" ht="14.4" x14ac:dyDescent="0.3">
      <c r="A32" s="5" t="s">
        <v>82</v>
      </c>
      <c r="B32" s="5" t="s">
        <v>83</v>
      </c>
      <c r="C32" s="7"/>
    </row>
    <row r="33" spans="1:3" ht="14.4" x14ac:dyDescent="0.3">
      <c r="A33" s="6" t="s">
        <v>84</v>
      </c>
      <c r="B33" s="6" t="s">
        <v>85</v>
      </c>
      <c r="C33" s="7"/>
    </row>
    <row r="34" spans="1:3" ht="14.4" x14ac:dyDescent="0.3">
      <c r="A34" s="6" t="s">
        <v>86</v>
      </c>
      <c r="B34" s="6" t="s">
        <v>87</v>
      </c>
      <c r="C34" s="7"/>
    </row>
    <row r="35" spans="1:3" ht="14.4" x14ac:dyDescent="0.3">
      <c r="A35" s="6" t="s">
        <v>88</v>
      </c>
      <c r="B35" s="6" t="s">
        <v>87</v>
      </c>
      <c r="C35" s="7"/>
    </row>
    <row r="36" spans="1:3" ht="14.4" x14ac:dyDescent="0.3">
      <c r="A36" s="6" t="s">
        <v>89</v>
      </c>
      <c r="B36" s="6" t="s">
        <v>85</v>
      </c>
      <c r="C36" s="7"/>
    </row>
    <row r="37" spans="1:3" ht="14.4" x14ac:dyDescent="0.3">
      <c r="A37" s="6" t="s">
        <v>90</v>
      </c>
      <c r="B37" s="6" t="s">
        <v>85</v>
      </c>
      <c r="C37" s="7"/>
    </row>
    <row r="38" spans="1:3" ht="14.4" x14ac:dyDescent="0.3">
      <c r="A38" s="7"/>
      <c r="B38" s="73"/>
    </row>
    <row r="39" spans="1:3" ht="14.4" x14ac:dyDescent="0.3">
      <c r="A39" s="19" t="s">
        <v>91</v>
      </c>
      <c r="B39" s="9"/>
    </row>
    <row r="40" spans="1:3" ht="14.4" x14ac:dyDescent="0.3">
      <c r="A40" s="7"/>
      <c r="B40" s="73"/>
    </row>
    <row r="41" spans="1:3" ht="14.4" x14ac:dyDescent="0.3">
      <c r="A41" s="6" t="s">
        <v>92</v>
      </c>
      <c r="B41" s="69" t="s">
        <v>93</v>
      </c>
      <c r="C41" s="7"/>
    </row>
    <row r="42" spans="1:3" ht="14.4" x14ac:dyDescent="0.3">
      <c r="A42" s="6">
        <f>SUM('Line downtime'!B3:M40)</f>
        <v>1388</v>
      </c>
      <c r="B42" s="69">
        <f>SUM('Fact Downtime'!C2:C62)</f>
        <v>1388</v>
      </c>
      <c r="C42" s="7"/>
    </row>
    <row r="43" spans="1:3" ht="14.4" x14ac:dyDescent="0.3">
      <c r="A43" s="7"/>
      <c r="B43" s="73"/>
    </row>
    <row r="44" spans="1:3" ht="14.4" x14ac:dyDescent="0.3">
      <c r="A44" s="5" t="s">
        <v>94</v>
      </c>
      <c r="B44" s="5" t="s">
        <v>83</v>
      </c>
      <c r="C44" s="7"/>
    </row>
    <row r="45" spans="1:3" ht="14.4" x14ac:dyDescent="0.3">
      <c r="A45" s="6" t="s">
        <v>95</v>
      </c>
      <c r="B45" s="6" t="s">
        <v>96</v>
      </c>
      <c r="C45" s="7"/>
    </row>
    <row r="46" spans="1:3" ht="14.4" x14ac:dyDescent="0.3">
      <c r="A46" s="6" t="s">
        <v>97</v>
      </c>
      <c r="B46" s="6" t="s">
        <v>96</v>
      </c>
      <c r="C46" s="7"/>
    </row>
    <row r="47" spans="1:3" ht="14.4" x14ac:dyDescent="0.3">
      <c r="A47" s="6" t="s">
        <v>98</v>
      </c>
      <c r="B47" s="6" t="s">
        <v>96</v>
      </c>
      <c r="C47" s="7"/>
    </row>
    <row r="48" spans="1:3" ht="14.4" x14ac:dyDescent="0.3">
      <c r="A48" s="6" t="s">
        <v>99</v>
      </c>
      <c r="B48" s="6" t="s">
        <v>96</v>
      </c>
      <c r="C48" s="7"/>
    </row>
    <row r="49" spans="1:3" ht="14.4" x14ac:dyDescent="0.3">
      <c r="A49" s="6" t="s">
        <v>100</v>
      </c>
      <c r="B49" s="6" t="s">
        <v>96</v>
      </c>
      <c r="C49" s="7"/>
    </row>
    <row r="50" spans="1:3" ht="14.4" x14ac:dyDescent="0.3">
      <c r="A50" s="7"/>
      <c r="B50" s="73"/>
    </row>
    <row r="51" spans="1:3" ht="14.4" x14ac:dyDescent="0.3">
      <c r="B51" s="9"/>
    </row>
    <row r="52" spans="1:3" ht="14.4" x14ac:dyDescent="0.3">
      <c r="B52" s="9"/>
    </row>
    <row r="53" spans="1:3" ht="14.4" x14ac:dyDescent="0.3">
      <c r="B53" s="9"/>
    </row>
    <row r="54" spans="1:3" ht="14.4" x14ac:dyDescent="0.3">
      <c r="B54" s="9"/>
    </row>
    <row r="55" spans="1:3" ht="14.4" x14ac:dyDescent="0.3">
      <c r="B55" s="9"/>
    </row>
    <row r="56" spans="1:3" ht="14.4" x14ac:dyDescent="0.3">
      <c r="B56" s="9"/>
    </row>
    <row r="57" spans="1:3" ht="14.4" x14ac:dyDescent="0.3">
      <c r="B57" s="4"/>
    </row>
    <row r="58" spans="1:3" ht="14.4" x14ac:dyDescent="0.3">
      <c r="B58" s="4"/>
    </row>
    <row r="59" spans="1:3" ht="14.4" x14ac:dyDescent="0.3">
      <c r="B59" s="4"/>
    </row>
    <row r="60" spans="1:3" ht="14.4" x14ac:dyDescent="0.3">
      <c r="B60" s="4"/>
    </row>
    <row r="61" spans="1:3" ht="14.4" x14ac:dyDescent="0.3">
      <c r="B61" s="4"/>
    </row>
    <row r="62" spans="1:3" ht="14.4" x14ac:dyDescent="0.3">
      <c r="B62" s="4"/>
    </row>
    <row r="63" spans="1:3" ht="14.4" x14ac:dyDescent="0.3">
      <c r="B63" s="4"/>
    </row>
    <row r="64" spans="1:3" ht="14.4" x14ac:dyDescent="0.3">
      <c r="B64" s="4"/>
    </row>
    <row r="65" spans="2:2" ht="14.4" x14ac:dyDescent="0.3">
      <c r="B65" s="4"/>
    </row>
    <row r="66" spans="2:2" ht="14.4" x14ac:dyDescent="0.3">
      <c r="B66" s="4"/>
    </row>
    <row r="67" spans="2:2" ht="14.4" x14ac:dyDescent="0.3">
      <c r="B67" s="4"/>
    </row>
    <row r="68" spans="2:2" ht="14.4" x14ac:dyDescent="0.3">
      <c r="B68" s="4"/>
    </row>
    <row r="69" spans="2:2" ht="14.4" x14ac:dyDescent="0.3">
      <c r="B69" s="4"/>
    </row>
    <row r="70" spans="2:2" ht="14.4" x14ac:dyDescent="0.3">
      <c r="B70" s="4"/>
    </row>
    <row r="71" spans="2:2" ht="14.4" x14ac:dyDescent="0.3">
      <c r="B71" s="4"/>
    </row>
    <row r="72" spans="2:2" ht="14.4" x14ac:dyDescent="0.3">
      <c r="B72" s="4"/>
    </row>
    <row r="73" spans="2:2" ht="14.4" x14ac:dyDescent="0.3">
      <c r="B73" s="4"/>
    </row>
    <row r="74" spans="2:2" ht="14.4" x14ac:dyDescent="0.3">
      <c r="B74" s="4"/>
    </row>
    <row r="75" spans="2:2" ht="14.4" x14ac:dyDescent="0.3">
      <c r="B75" s="4"/>
    </row>
    <row r="76" spans="2:2" ht="14.4" x14ac:dyDescent="0.3">
      <c r="B76" s="4"/>
    </row>
    <row r="77" spans="2:2" ht="14.4" x14ac:dyDescent="0.3">
      <c r="B77" s="4"/>
    </row>
    <row r="78" spans="2:2" ht="14.4" x14ac:dyDescent="0.3">
      <c r="B78" s="4"/>
    </row>
    <row r="79" spans="2:2" ht="14.4" x14ac:dyDescent="0.3">
      <c r="B79" s="4"/>
    </row>
    <row r="80" spans="2:2" ht="14.4" x14ac:dyDescent="0.3">
      <c r="B80" s="4"/>
    </row>
    <row r="81" spans="2:2" ht="14.4" x14ac:dyDescent="0.3">
      <c r="B81" s="4"/>
    </row>
    <row r="82" spans="2:2" ht="14.4" x14ac:dyDescent="0.3">
      <c r="B82" s="4"/>
    </row>
    <row r="83" spans="2:2" ht="14.4" x14ac:dyDescent="0.3">
      <c r="B83" s="4"/>
    </row>
    <row r="84" spans="2:2" ht="14.4" x14ac:dyDescent="0.3">
      <c r="B84" s="4"/>
    </row>
    <row r="85" spans="2:2" ht="14.4" x14ac:dyDescent="0.3">
      <c r="B85" s="4"/>
    </row>
    <row r="86" spans="2:2" ht="14.4" x14ac:dyDescent="0.3">
      <c r="B86" s="4"/>
    </row>
    <row r="87" spans="2:2" ht="14.4" x14ac:dyDescent="0.3">
      <c r="B87" s="4"/>
    </row>
    <row r="88" spans="2:2" ht="14.4" x14ac:dyDescent="0.3">
      <c r="B88" s="4"/>
    </row>
    <row r="89" spans="2:2" ht="14.4" x14ac:dyDescent="0.3">
      <c r="B89" s="4"/>
    </row>
    <row r="90" spans="2:2" ht="14.4" x14ac:dyDescent="0.3">
      <c r="B90" s="4"/>
    </row>
    <row r="91" spans="2:2" ht="14.4" x14ac:dyDescent="0.3">
      <c r="B91" s="4"/>
    </row>
    <row r="92" spans="2:2" ht="14.4" x14ac:dyDescent="0.3">
      <c r="B92" s="4"/>
    </row>
    <row r="93" spans="2:2" ht="14.4" x14ac:dyDescent="0.3">
      <c r="B93" s="4"/>
    </row>
    <row r="94" spans="2:2" ht="14.4" x14ac:dyDescent="0.3">
      <c r="B94" s="4"/>
    </row>
    <row r="95" spans="2:2" ht="14.4" x14ac:dyDescent="0.3">
      <c r="B95" s="4"/>
    </row>
    <row r="96" spans="2:2" ht="14.4" x14ac:dyDescent="0.3">
      <c r="B96" s="4"/>
    </row>
    <row r="97" spans="2:2" ht="14.4" x14ac:dyDescent="0.3">
      <c r="B97" s="4"/>
    </row>
    <row r="98" spans="2:2" ht="14.4" x14ac:dyDescent="0.3">
      <c r="B98" s="4"/>
    </row>
    <row r="99" spans="2:2" ht="14.4" x14ac:dyDescent="0.3">
      <c r="B99" s="4"/>
    </row>
    <row r="100" spans="2:2" ht="14.4" x14ac:dyDescent="0.3">
      <c r="B100" s="4"/>
    </row>
    <row r="101" spans="2:2" ht="14.4" x14ac:dyDescent="0.3">
      <c r="B101" s="4"/>
    </row>
    <row r="102" spans="2:2" ht="14.4" x14ac:dyDescent="0.3">
      <c r="B102" s="4"/>
    </row>
    <row r="103" spans="2:2" ht="14.4" x14ac:dyDescent="0.3">
      <c r="B103" s="4"/>
    </row>
    <row r="104" spans="2:2" ht="14.4" x14ac:dyDescent="0.3">
      <c r="B104" s="4"/>
    </row>
    <row r="105" spans="2:2" ht="14.4" x14ac:dyDescent="0.3">
      <c r="B105" s="4"/>
    </row>
    <row r="106" spans="2:2" ht="14.4" x14ac:dyDescent="0.3">
      <c r="B106" s="4"/>
    </row>
    <row r="107" spans="2:2" ht="14.4" x14ac:dyDescent="0.3">
      <c r="B107" s="4"/>
    </row>
    <row r="108" spans="2:2" ht="14.4" x14ac:dyDescent="0.3">
      <c r="B108" s="4"/>
    </row>
    <row r="109" spans="2:2" ht="14.4" x14ac:dyDescent="0.3">
      <c r="B109" s="4"/>
    </row>
    <row r="110" spans="2:2" ht="14.4" x14ac:dyDescent="0.3">
      <c r="B110" s="4"/>
    </row>
    <row r="111" spans="2:2" ht="14.4" x14ac:dyDescent="0.3">
      <c r="B111" s="4"/>
    </row>
    <row r="112" spans="2:2" ht="14.4" x14ac:dyDescent="0.3">
      <c r="B112" s="4"/>
    </row>
    <row r="113" spans="2:2" ht="14.4" x14ac:dyDescent="0.3">
      <c r="B113" s="4"/>
    </row>
    <row r="114" spans="2:2" ht="14.4" x14ac:dyDescent="0.3">
      <c r="B114" s="4"/>
    </row>
    <row r="115" spans="2:2" ht="14.4" x14ac:dyDescent="0.3">
      <c r="B115" s="4"/>
    </row>
    <row r="116" spans="2:2" ht="14.4" x14ac:dyDescent="0.3">
      <c r="B116" s="4"/>
    </row>
    <row r="117" spans="2:2" ht="14.4" x14ac:dyDescent="0.3">
      <c r="B117" s="4"/>
    </row>
    <row r="118" spans="2:2" ht="14.4" x14ac:dyDescent="0.3">
      <c r="B118" s="4"/>
    </row>
    <row r="119" spans="2:2" ht="14.4" x14ac:dyDescent="0.3">
      <c r="B119" s="4"/>
    </row>
    <row r="120" spans="2:2" ht="14.4" x14ac:dyDescent="0.3">
      <c r="B120" s="4"/>
    </row>
    <row r="121" spans="2:2" ht="14.4" x14ac:dyDescent="0.3">
      <c r="B121" s="4"/>
    </row>
    <row r="122" spans="2:2" ht="14.4" x14ac:dyDescent="0.3">
      <c r="B122" s="4"/>
    </row>
    <row r="123" spans="2:2" ht="14.4" x14ac:dyDescent="0.3">
      <c r="B123" s="4"/>
    </row>
    <row r="124" spans="2:2" ht="14.4" x14ac:dyDescent="0.3">
      <c r="B124" s="4"/>
    </row>
    <row r="125" spans="2:2" ht="14.4" x14ac:dyDescent="0.3">
      <c r="B125" s="4"/>
    </row>
    <row r="126" spans="2:2" ht="14.4" x14ac:dyDescent="0.3">
      <c r="B126" s="4"/>
    </row>
    <row r="127" spans="2:2" ht="14.4" x14ac:dyDescent="0.3">
      <c r="B127" s="4"/>
    </row>
    <row r="128" spans="2:2" ht="14.4" x14ac:dyDescent="0.3">
      <c r="B128" s="4"/>
    </row>
    <row r="129" spans="2:2" ht="14.4" x14ac:dyDescent="0.3">
      <c r="B129" s="4"/>
    </row>
    <row r="130" spans="2:2" ht="14.4" x14ac:dyDescent="0.3">
      <c r="B130" s="4"/>
    </row>
    <row r="131" spans="2:2" ht="14.4" x14ac:dyDescent="0.3">
      <c r="B131" s="4"/>
    </row>
    <row r="132" spans="2:2" ht="14.4" x14ac:dyDescent="0.3">
      <c r="B132" s="4"/>
    </row>
    <row r="133" spans="2:2" ht="14.4" x14ac:dyDescent="0.3">
      <c r="B133" s="4"/>
    </row>
    <row r="134" spans="2:2" ht="14.4" x14ac:dyDescent="0.3">
      <c r="B134" s="4"/>
    </row>
    <row r="135" spans="2:2" ht="14.4" x14ac:dyDescent="0.3">
      <c r="B135" s="4"/>
    </row>
    <row r="136" spans="2:2" ht="14.4" x14ac:dyDescent="0.3">
      <c r="B136" s="4"/>
    </row>
    <row r="137" spans="2:2" ht="14.4" x14ac:dyDescent="0.3">
      <c r="B137" s="4"/>
    </row>
    <row r="138" spans="2:2" ht="14.4" x14ac:dyDescent="0.3">
      <c r="B138" s="4"/>
    </row>
    <row r="139" spans="2:2" ht="14.4" x14ac:dyDescent="0.3">
      <c r="B139" s="4"/>
    </row>
    <row r="140" spans="2:2" ht="14.4" x14ac:dyDescent="0.3">
      <c r="B140" s="4"/>
    </row>
    <row r="141" spans="2:2" ht="14.4" x14ac:dyDescent="0.3">
      <c r="B141" s="4"/>
    </row>
    <row r="142" spans="2:2" ht="14.4" x14ac:dyDescent="0.3">
      <c r="B142" s="4"/>
    </row>
    <row r="143" spans="2:2" ht="14.4" x14ac:dyDescent="0.3">
      <c r="B143" s="4"/>
    </row>
    <row r="144" spans="2:2" ht="14.4" x14ac:dyDescent="0.3">
      <c r="B144" s="4"/>
    </row>
    <row r="145" spans="2:2" ht="14.4" x14ac:dyDescent="0.3">
      <c r="B145" s="4"/>
    </row>
    <row r="146" spans="2:2" ht="14.4" x14ac:dyDescent="0.3">
      <c r="B146" s="4"/>
    </row>
    <row r="147" spans="2:2" ht="14.4" x14ac:dyDescent="0.3">
      <c r="B147" s="4"/>
    </row>
    <row r="148" spans="2:2" ht="14.4" x14ac:dyDescent="0.3">
      <c r="B148" s="4"/>
    </row>
    <row r="149" spans="2:2" ht="14.4" x14ac:dyDescent="0.3">
      <c r="B149" s="4"/>
    </row>
    <row r="150" spans="2:2" ht="14.4" x14ac:dyDescent="0.3">
      <c r="B150" s="4"/>
    </row>
    <row r="151" spans="2:2" ht="14.4" x14ac:dyDescent="0.3">
      <c r="B151" s="4"/>
    </row>
    <row r="152" spans="2:2" ht="14.4" x14ac:dyDescent="0.3">
      <c r="B152" s="4"/>
    </row>
    <row r="153" spans="2:2" ht="14.4" x14ac:dyDescent="0.3">
      <c r="B153" s="4"/>
    </row>
    <row r="154" spans="2:2" ht="14.4" x14ac:dyDescent="0.3">
      <c r="B154" s="4"/>
    </row>
    <row r="155" spans="2:2" ht="14.4" x14ac:dyDescent="0.3">
      <c r="B155" s="4"/>
    </row>
    <row r="156" spans="2:2" ht="14.4" x14ac:dyDescent="0.3">
      <c r="B156" s="4"/>
    </row>
    <row r="157" spans="2:2" ht="14.4" x14ac:dyDescent="0.3">
      <c r="B157" s="4"/>
    </row>
    <row r="158" spans="2:2" ht="14.4" x14ac:dyDescent="0.3">
      <c r="B158" s="4"/>
    </row>
    <row r="159" spans="2:2" ht="14.4" x14ac:dyDescent="0.3">
      <c r="B159" s="4"/>
    </row>
    <row r="160" spans="2:2" ht="14.4" x14ac:dyDescent="0.3">
      <c r="B160" s="4"/>
    </row>
    <row r="161" spans="2:2" ht="14.4" x14ac:dyDescent="0.3">
      <c r="B161" s="4"/>
    </row>
    <row r="162" spans="2:2" ht="14.4" x14ac:dyDescent="0.3">
      <c r="B162" s="4"/>
    </row>
    <row r="163" spans="2:2" ht="14.4" x14ac:dyDescent="0.3">
      <c r="B163" s="4"/>
    </row>
    <row r="164" spans="2:2" ht="14.4" x14ac:dyDescent="0.3">
      <c r="B164" s="4"/>
    </row>
    <row r="165" spans="2:2" ht="14.4" x14ac:dyDescent="0.3">
      <c r="B165" s="4"/>
    </row>
    <row r="166" spans="2:2" ht="14.4" x14ac:dyDescent="0.3">
      <c r="B166" s="4"/>
    </row>
    <row r="167" spans="2:2" ht="14.4" x14ac:dyDescent="0.3">
      <c r="B167" s="4"/>
    </row>
    <row r="168" spans="2:2" ht="14.4" x14ac:dyDescent="0.3">
      <c r="B168" s="4"/>
    </row>
    <row r="169" spans="2:2" ht="14.4" x14ac:dyDescent="0.3">
      <c r="B169" s="4"/>
    </row>
    <row r="170" spans="2:2" ht="14.4" x14ac:dyDescent="0.3">
      <c r="B170" s="4"/>
    </row>
    <row r="171" spans="2:2" ht="14.4" x14ac:dyDescent="0.3">
      <c r="B171" s="4"/>
    </row>
    <row r="172" spans="2:2" ht="14.4" x14ac:dyDescent="0.3">
      <c r="B172" s="4"/>
    </row>
    <row r="173" spans="2:2" ht="14.4" x14ac:dyDescent="0.3">
      <c r="B173" s="4"/>
    </row>
    <row r="174" spans="2:2" ht="14.4" x14ac:dyDescent="0.3">
      <c r="B174" s="4"/>
    </row>
    <row r="175" spans="2:2" ht="14.4" x14ac:dyDescent="0.3">
      <c r="B175" s="4"/>
    </row>
    <row r="176" spans="2:2" ht="14.4" x14ac:dyDescent="0.3">
      <c r="B176" s="4"/>
    </row>
    <row r="177" spans="2:2" ht="14.4" x14ac:dyDescent="0.3">
      <c r="B177" s="4"/>
    </row>
    <row r="178" spans="2:2" ht="14.4" x14ac:dyDescent="0.3">
      <c r="B178" s="4"/>
    </row>
    <row r="179" spans="2:2" ht="14.4" x14ac:dyDescent="0.3">
      <c r="B179" s="4"/>
    </row>
    <row r="180" spans="2:2" ht="14.4" x14ac:dyDescent="0.3">
      <c r="B180" s="4"/>
    </row>
    <row r="181" spans="2:2" ht="14.4" x14ac:dyDescent="0.3">
      <c r="B181" s="4"/>
    </row>
    <row r="182" spans="2:2" ht="14.4" x14ac:dyDescent="0.3">
      <c r="B182" s="4"/>
    </row>
    <row r="183" spans="2:2" ht="14.4" x14ac:dyDescent="0.3">
      <c r="B183" s="4"/>
    </row>
    <row r="184" spans="2:2" ht="14.4" x14ac:dyDescent="0.3">
      <c r="B184" s="4"/>
    </row>
    <row r="185" spans="2:2" ht="14.4" x14ac:dyDescent="0.3">
      <c r="B185" s="4"/>
    </row>
    <row r="186" spans="2:2" ht="14.4" x14ac:dyDescent="0.3">
      <c r="B186" s="4"/>
    </row>
    <row r="187" spans="2:2" ht="14.4" x14ac:dyDescent="0.3">
      <c r="B187" s="4"/>
    </row>
    <row r="188" spans="2:2" ht="14.4" x14ac:dyDescent="0.3">
      <c r="B188" s="4"/>
    </row>
    <row r="189" spans="2:2" ht="14.4" x14ac:dyDescent="0.3">
      <c r="B189" s="4"/>
    </row>
    <row r="190" spans="2:2" ht="14.4" x14ac:dyDescent="0.3">
      <c r="B190" s="4"/>
    </row>
    <row r="191" spans="2:2" ht="14.4" x14ac:dyDescent="0.3">
      <c r="B191" s="4"/>
    </row>
    <row r="192" spans="2:2" ht="14.4" x14ac:dyDescent="0.3">
      <c r="B192" s="4"/>
    </row>
    <row r="193" spans="2:2" ht="14.4" x14ac:dyDescent="0.3">
      <c r="B193" s="4"/>
    </row>
    <row r="194" spans="2:2" ht="14.4" x14ac:dyDescent="0.3">
      <c r="B194" s="4"/>
    </row>
    <row r="195" spans="2:2" ht="14.4" x14ac:dyDescent="0.3">
      <c r="B195" s="4"/>
    </row>
    <row r="196" spans="2:2" ht="14.4" x14ac:dyDescent="0.3">
      <c r="B196" s="4"/>
    </row>
    <row r="197" spans="2:2" ht="14.4" x14ac:dyDescent="0.3">
      <c r="B197" s="4"/>
    </row>
    <row r="198" spans="2:2" ht="14.4" x14ac:dyDescent="0.3">
      <c r="B198" s="4"/>
    </row>
    <row r="199" spans="2:2" ht="14.4" x14ac:dyDescent="0.3">
      <c r="B199" s="4"/>
    </row>
    <row r="200" spans="2:2" ht="14.4" x14ac:dyDescent="0.3">
      <c r="B200" s="4"/>
    </row>
    <row r="201" spans="2:2" ht="14.4" x14ac:dyDescent="0.3">
      <c r="B201" s="4"/>
    </row>
    <row r="202" spans="2:2" ht="14.4" x14ac:dyDescent="0.3">
      <c r="B202" s="4"/>
    </row>
    <row r="203" spans="2:2" ht="14.4" x14ac:dyDescent="0.3">
      <c r="B203" s="4"/>
    </row>
    <row r="204" spans="2:2" ht="14.4" x14ac:dyDescent="0.3">
      <c r="B204" s="4"/>
    </row>
    <row r="205" spans="2:2" ht="14.4" x14ac:dyDescent="0.3">
      <c r="B205" s="4"/>
    </row>
    <row r="206" spans="2:2" ht="14.4" x14ac:dyDescent="0.3">
      <c r="B206" s="4"/>
    </row>
    <row r="207" spans="2:2" ht="14.4" x14ac:dyDescent="0.3">
      <c r="B207" s="4"/>
    </row>
    <row r="208" spans="2:2" ht="14.4" x14ac:dyDescent="0.3">
      <c r="B208" s="4"/>
    </row>
    <row r="209" spans="2:2" ht="14.4" x14ac:dyDescent="0.3">
      <c r="B209" s="4"/>
    </row>
    <row r="210" spans="2:2" ht="14.4" x14ac:dyDescent="0.3">
      <c r="B210" s="4"/>
    </row>
    <row r="211" spans="2:2" ht="14.4" x14ac:dyDescent="0.3">
      <c r="B211" s="4"/>
    </row>
    <row r="212" spans="2:2" ht="14.4" x14ac:dyDescent="0.3">
      <c r="B212" s="4"/>
    </row>
    <row r="213" spans="2:2" ht="14.4" x14ac:dyDescent="0.3">
      <c r="B213" s="4"/>
    </row>
    <row r="214" spans="2:2" ht="14.4" x14ac:dyDescent="0.3">
      <c r="B214" s="4"/>
    </row>
    <row r="215" spans="2:2" ht="14.4" x14ac:dyDescent="0.3">
      <c r="B215" s="4"/>
    </row>
    <row r="216" spans="2:2" ht="14.4" x14ac:dyDescent="0.3">
      <c r="B216" s="4"/>
    </row>
    <row r="217" spans="2:2" ht="14.4" x14ac:dyDescent="0.3">
      <c r="B217" s="4"/>
    </row>
    <row r="218" spans="2:2" ht="14.4" x14ac:dyDescent="0.3">
      <c r="B218" s="4"/>
    </row>
    <row r="219" spans="2:2" ht="14.4" x14ac:dyDescent="0.3">
      <c r="B219" s="4"/>
    </row>
    <row r="220" spans="2:2" ht="14.4" x14ac:dyDescent="0.3">
      <c r="B220" s="4"/>
    </row>
    <row r="221" spans="2:2" ht="14.4" x14ac:dyDescent="0.3">
      <c r="B221" s="4"/>
    </row>
    <row r="222" spans="2:2" ht="14.4" x14ac:dyDescent="0.3">
      <c r="B222" s="4"/>
    </row>
    <row r="223" spans="2:2" ht="14.4" x14ac:dyDescent="0.3">
      <c r="B223" s="4"/>
    </row>
    <row r="224" spans="2:2" ht="14.4" x14ac:dyDescent="0.3">
      <c r="B224" s="4"/>
    </row>
    <row r="225" spans="2:2" ht="14.4" x14ac:dyDescent="0.3">
      <c r="B225" s="4"/>
    </row>
    <row r="226" spans="2:2" ht="14.4" x14ac:dyDescent="0.3">
      <c r="B226" s="4"/>
    </row>
    <row r="227" spans="2:2" ht="14.4" x14ac:dyDescent="0.3">
      <c r="B227" s="4"/>
    </row>
    <row r="228" spans="2:2" ht="14.4" x14ac:dyDescent="0.3">
      <c r="B228" s="4"/>
    </row>
    <row r="229" spans="2:2" ht="14.4" x14ac:dyDescent="0.3">
      <c r="B229" s="4"/>
    </row>
    <row r="230" spans="2:2" ht="14.4" x14ac:dyDescent="0.3">
      <c r="B230" s="4"/>
    </row>
    <row r="231" spans="2:2" ht="14.4" x14ac:dyDescent="0.3">
      <c r="B231" s="4"/>
    </row>
    <row r="232" spans="2:2" ht="14.4" x14ac:dyDescent="0.3">
      <c r="B232" s="4"/>
    </row>
    <row r="233" spans="2:2" ht="14.4" x14ac:dyDescent="0.3">
      <c r="B233" s="4"/>
    </row>
    <row r="234" spans="2:2" ht="14.4" x14ac:dyDescent="0.3">
      <c r="B234" s="4"/>
    </row>
    <row r="235" spans="2:2" ht="14.4" x14ac:dyDescent="0.3">
      <c r="B235" s="4"/>
    </row>
    <row r="236" spans="2:2" ht="14.4" x14ac:dyDescent="0.3">
      <c r="B236" s="4"/>
    </row>
    <row r="237" spans="2:2" ht="14.4" x14ac:dyDescent="0.3">
      <c r="B237" s="4"/>
    </row>
    <row r="238" spans="2:2" ht="14.4" x14ac:dyDescent="0.3">
      <c r="B238" s="4"/>
    </row>
    <row r="239" spans="2:2" ht="14.4" x14ac:dyDescent="0.3">
      <c r="B239" s="4"/>
    </row>
    <row r="240" spans="2:2" ht="14.4" x14ac:dyDescent="0.3">
      <c r="B240" s="4"/>
    </row>
    <row r="241" spans="2:2" ht="14.4" x14ac:dyDescent="0.3">
      <c r="B241" s="4"/>
    </row>
    <row r="242" spans="2:2" ht="14.4" x14ac:dyDescent="0.3">
      <c r="B242" s="4"/>
    </row>
    <row r="243" spans="2:2" ht="14.4" x14ac:dyDescent="0.3">
      <c r="B243" s="4"/>
    </row>
    <row r="244" spans="2:2" ht="14.4" x14ac:dyDescent="0.3">
      <c r="B244" s="4"/>
    </row>
    <row r="245" spans="2:2" ht="14.4" x14ac:dyDescent="0.3">
      <c r="B245" s="4"/>
    </row>
    <row r="246" spans="2:2" ht="14.4" x14ac:dyDescent="0.3">
      <c r="B246" s="4"/>
    </row>
    <row r="247" spans="2:2" ht="14.4" x14ac:dyDescent="0.3">
      <c r="B247" s="4"/>
    </row>
    <row r="248" spans="2:2" ht="14.4" x14ac:dyDescent="0.3">
      <c r="B248" s="4"/>
    </row>
    <row r="249" spans="2:2" ht="14.4" x14ac:dyDescent="0.3">
      <c r="B249" s="4"/>
    </row>
    <row r="250" spans="2:2" ht="14.4" x14ac:dyDescent="0.3">
      <c r="B250" s="4"/>
    </row>
    <row r="251" spans="2:2" ht="14.4" x14ac:dyDescent="0.3">
      <c r="B251" s="4"/>
    </row>
    <row r="252" spans="2:2" ht="14.4" x14ac:dyDescent="0.3">
      <c r="B252" s="4"/>
    </row>
    <row r="253" spans="2:2" ht="14.4" x14ac:dyDescent="0.3">
      <c r="B253" s="4"/>
    </row>
    <row r="254" spans="2:2" ht="14.4" x14ac:dyDescent="0.3">
      <c r="B254" s="4"/>
    </row>
    <row r="255" spans="2:2" ht="14.4" x14ac:dyDescent="0.3">
      <c r="B255" s="4"/>
    </row>
    <row r="256" spans="2:2" ht="14.4" x14ac:dyDescent="0.3">
      <c r="B256" s="4"/>
    </row>
    <row r="257" spans="2:2" ht="14.4" x14ac:dyDescent="0.3">
      <c r="B257" s="4"/>
    </row>
    <row r="258" spans="2:2" ht="14.4" x14ac:dyDescent="0.3">
      <c r="B258" s="4"/>
    </row>
    <row r="259" spans="2:2" ht="14.4" x14ac:dyDescent="0.3">
      <c r="B259" s="4"/>
    </row>
    <row r="260" spans="2:2" ht="14.4" x14ac:dyDescent="0.3">
      <c r="B260" s="4"/>
    </row>
    <row r="261" spans="2:2" ht="14.4" x14ac:dyDescent="0.3">
      <c r="B261" s="4"/>
    </row>
    <row r="262" spans="2:2" ht="14.4" x14ac:dyDescent="0.3">
      <c r="B262" s="4"/>
    </row>
    <row r="263" spans="2:2" ht="14.4" x14ac:dyDescent="0.3">
      <c r="B263" s="4"/>
    </row>
    <row r="264" spans="2:2" ht="14.4" x14ac:dyDescent="0.3">
      <c r="B264" s="4"/>
    </row>
    <row r="265" spans="2:2" ht="14.4" x14ac:dyDescent="0.3">
      <c r="B265" s="4"/>
    </row>
    <row r="266" spans="2:2" ht="14.4" x14ac:dyDescent="0.3">
      <c r="B266" s="4"/>
    </row>
    <row r="267" spans="2:2" ht="14.4" x14ac:dyDescent="0.3">
      <c r="B267" s="4"/>
    </row>
    <row r="268" spans="2:2" ht="14.4" x14ac:dyDescent="0.3">
      <c r="B268" s="4"/>
    </row>
    <row r="269" spans="2:2" ht="14.4" x14ac:dyDescent="0.3">
      <c r="B269" s="4"/>
    </row>
    <row r="270" spans="2:2" ht="14.4" x14ac:dyDescent="0.3">
      <c r="B270" s="4"/>
    </row>
    <row r="271" spans="2:2" ht="14.4" x14ac:dyDescent="0.3">
      <c r="B271" s="4"/>
    </row>
    <row r="272" spans="2:2" ht="14.4" x14ac:dyDescent="0.3">
      <c r="B272" s="4"/>
    </row>
    <row r="273" spans="2:2" ht="14.4" x14ac:dyDescent="0.3">
      <c r="B273" s="4"/>
    </row>
    <row r="274" spans="2:2" ht="14.4" x14ac:dyDescent="0.3">
      <c r="B274" s="4"/>
    </row>
    <row r="275" spans="2:2" ht="14.4" x14ac:dyDescent="0.3">
      <c r="B275" s="4"/>
    </row>
    <row r="276" spans="2:2" ht="14.4" x14ac:dyDescent="0.3">
      <c r="B276" s="4"/>
    </row>
    <row r="277" spans="2:2" ht="14.4" x14ac:dyDescent="0.3">
      <c r="B277" s="4"/>
    </row>
    <row r="278" spans="2:2" ht="14.4" x14ac:dyDescent="0.3">
      <c r="B278" s="4"/>
    </row>
    <row r="279" spans="2:2" ht="14.4" x14ac:dyDescent="0.3">
      <c r="B279" s="4"/>
    </row>
    <row r="280" spans="2:2" ht="14.4" x14ac:dyDescent="0.3">
      <c r="B280" s="4"/>
    </row>
    <row r="281" spans="2:2" ht="14.4" x14ac:dyDescent="0.3">
      <c r="B281" s="4"/>
    </row>
    <row r="282" spans="2:2" ht="14.4" x14ac:dyDescent="0.3">
      <c r="B282" s="4"/>
    </row>
    <row r="283" spans="2:2" ht="14.4" x14ac:dyDescent="0.3">
      <c r="B283" s="4"/>
    </row>
    <row r="284" spans="2:2" ht="14.4" x14ac:dyDescent="0.3">
      <c r="B284" s="4"/>
    </row>
    <row r="285" spans="2:2" ht="14.4" x14ac:dyDescent="0.3">
      <c r="B285" s="4"/>
    </row>
    <row r="286" spans="2:2" ht="14.4" x14ac:dyDescent="0.3">
      <c r="B286" s="4"/>
    </row>
    <row r="287" spans="2:2" ht="14.4" x14ac:dyDescent="0.3">
      <c r="B287" s="4"/>
    </row>
    <row r="288" spans="2:2" ht="14.4" x14ac:dyDescent="0.3">
      <c r="B288" s="4"/>
    </row>
    <row r="289" spans="2:2" ht="14.4" x14ac:dyDescent="0.3">
      <c r="B289" s="4"/>
    </row>
    <row r="290" spans="2:2" ht="14.4" x14ac:dyDescent="0.3">
      <c r="B290" s="4"/>
    </row>
    <row r="291" spans="2:2" ht="14.4" x14ac:dyDescent="0.3">
      <c r="B291" s="4"/>
    </row>
    <row r="292" spans="2:2" ht="14.4" x14ac:dyDescent="0.3">
      <c r="B292" s="4"/>
    </row>
    <row r="293" spans="2:2" ht="14.4" x14ac:dyDescent="0.3">
      <c r="B293" s="4"/>
    </row>
    <row r="294" spans="2:2" ht="14.4" x14ac:dyDescent="0.3">
      <c r="B294" s="4"/>
    </row>
    <row r="295" spans="2:2" ht="14.4" x14ac:dyDescent="0.3">
      <c r="B295" s="4"/>
    </row>
    <row r="296" spans="2:2" ht="14.4" x14ac:dyDescent="0.3">
      <c r="B296" s="4"/>
    </row>
    <row r="297" spans="2:2" ht="14.4" x14ac:dyDescent="0.3">
      <c r="B297" s="4"/>
    </row>
    <row r="298" spans="2:2" ht="14.4" x14ac:dyDescent="0.3">
      <c r="B298" s="4"/>
    </row>
    <row r="299" spans="2:2" ht="14.4" x14ac:dyDescent="0.3">
      <c r="B299" s="4"/>
    </row>
    <row r="300" spans="2:2" ht="14.4" x14ac:dyDescent="0.3">
      <c r="B300" s="4"/>
    </row>
    <row r="301" spans="2:2" ht="14.4" x14ac:dyDescent="0.3">
      <c r="B301" s="4"/>
    </row>
    <row r="302" spans="2:2" ht="14.4" x14ac:dyDescent="0.3">
      <c r="B302" s="4"/>
    </row>
    <row r="303" spans="2:2" ht="14.4" x14ac:dyDescent="0.3">
      <c r="B303" s="4"/>
    </row>
    <row r="304" spans="2:2" ht="14.4" x14ac:dyDescent="0.3">
      <c r="B304" s="4"/>
    </row>
    <row r="305" spans="2:2" ht="14.4" x14ac:dyDescent="0.3">
      <c r="B305" s="4"/>
    </row>
    <row r="306" spans="2:2" ht="14.4" x14ac:dyDescent="0.3">
      <c r="B306" s="4"/>
    </row>
    <row r="307" spans="2:2" ht="14.4" x14ac:dyDescent="0.3">
      <c r="B307" s="4"/>
    </row>
    <row r="308" spans="2:2" ht="14.4" x14ac:dyDescent="0.3">
      <c r="B308" s="4"/>
    </row>
    <row r="309" spans="2:2" ht="14.4" x14ac:dyDescent="0.3">
      <c r="B309" s="4"/>
    </row>
    <row r="310" spans="2:2" ht="14.4" x14ac:dyDescent="0.3">
      <c r="B310" s="4"/>
    </row>
    <row r="311" spans="2:2" ht="14.4" x14ac:dyDescent="0.3">
      <c r="B311" s="4"/>
    </row>
    <row r="312" spans="2:2" ht="14.4" x14ac:dyDescent="0.3">
      <c r="B312" s="4"/>
    </row>
    <row r="313" spans="2:2" ht="14.4" x14ac:dyDescent="0.3">
      <c r="B313" s="4"/>
    </row>
    <row r="314" spans="2:2" ht="14.4" x14ac:dyDescent="0.3">
      <c r="B314" s="4"/>
    </row>
    <row r="315" spans="2:2" ht="14.4" x14ac:dyDescent="0.3">
      <c r="B315" s="4"/>
    </row>
    <row r="316" spans="2:2" ht="14.4" x14ac:dyDescent="0.3">
      <c r="B316" s="4"/>
    </row>
    <row r="317" spans="2:2" ht="14.4" x14ac:dyDescent="0.3">
      <c r="B317" s="4"/>
    </row>
    <row r="318" spans="2:2" ht="14.4" x14ac:dyDescent="0.3">
      <c r="B318" s="4"/>
    </row>
    <row r="319" spans="2:2" ht="14.4" x14ac:dyDescent="0.3">
      <c r="B319" s="4"/>
    </row>
    <row r="320" spans="2:2" ht="14.4" x14ac:dyDescent="0.3">
      <c r="B320" s="4"/>
    </row>
    <row r="321" spans="2:2" ht="14.4" x14ac:dyDescent="0.3">
      <c r="B321" s="4"/>
    </row>
    <row r="322" spans="2:2" ht="14.4" x14ac:dyDescent="0.3">
      <c r="B322" s="4"/>
    </row>
    <row r="323" spans="2:2" ht="14.4" x14ac:dyDescent="0.3">
      <c r="B323" s="4"/>
    </row>
    <row r="324" spans="2:2" ht="14.4" x14ac:dyDescent="0.3">
      <c r="B324" s="4"/>
    </row>
    <row r="325" spans="2:2" ht="14.4" x14ac:dyDescent="0.3">
      <c r="B325" s="4"/>
    </row>
    <row r="326" spans="2:2" ht="14.4" x14ac:dyDescent="0.3">
      <c r="B326" s="4"/>
    </row>
    <row r="327" spans="2:2" ht="14.4" x14ac:dyDescent="0.3">
      <c r="B327" s="4"/>
    </row>
    <row r="328" spans="2:2" ht="14.4" x14ac:dyDescent="0.3">
      <c r="B328" s="4"/>
    </row>
    <row r="329" spans="2:2" ht="14.4" x14ac:dyDescent="0.3">
      <c r="B329" s="4"/>
    </row>
    <row r="330" spans="2:2" ht="14.4" x14ac:dyDescent="0.3">
      <c r="B330" s="4"/>
    </row>
    <row r="331" spans="2:2" ht="14.4" x14ac:dyDescent="0.3">
      <c r="B331" s="4"/>
    </row>
    <row r="332" spans="2:2" ht="14.4" x14ac:dyDescent="0.3">
      <c r="B332" s="4"/>
    </row>
    <row r="333" spans="2:2" ht="14.4" x14ac:dyDescent="0.3">
      <c r="B333" s="4"/>
    </row>
    <row r="334" spans="2:2" ht="14.4" x14ac:dyDescent="0.3">
      <c r="B334" s="4"/>
    </row>
    <row r="335" spans="2:2" ht="14.4" x14ac:dyDescent="0.3">
      <c r="B335" s="4"/>
    </row>
    <row r="336" spans="2:2" ht="14.4" x14ac:dyDescent="0.3">
      <c r="B336" s="4"/>
    </row>
    <row r="337" spans="2:2" ht="14.4" x14ac:dyDescent="0.3">
      <c r="B337" s="4"/>
    </row>
    <row r="338" spans="2:2" ht="14.4" x14ac:dyDescent="0.3">
      <c r="B338" s="4"/>
    </row>
    <row r="339" spans="2:2" ht="14.4" x14ac:dyDescent="0.3">
      <c r="B339" s="4"/>
    </row>
    <row r="340" spans="2:2" ht="14.4" x14ac:dyDescent="0.3">
      <c r="B340" s="4"/>
    </row>
    <row r="341" spans="2:2" ht="14.4" x14ac:dyDescent="0.3">
      <c r="B341" s="4"/>
    </row>
    <row r="342" spans="2:2" ht="14.4" x14ac:dyDescent="0.3">
      <c r="B342" s="4"/>
    </row>
    <row r="343" spans="2:2" ht="14.4" x14ac:dyDescent="0.3">
      <c r="B343" s="4"/>
    </row>
    <row r="344" spans="2:2" ht="14.4" x14ac:dyDescent="0.3">
      <c r="B344" s="4"/>
    </row>
    <row r="345" spans="2:2" ht="14.4" x14ac:dyDescent="0.3">
      <c r="B345" s="4"/>
    </row>
    <row r="346" spans="2:2" ht="14.4" x14ac:dyDescent="0.3">
      <c r="B346" s="4"/>
    </row>
    <row r="347" spans="2:2" ht="14.4" x14ac:dyDescent="0.3">
      <c r="B347" s="4"/>
    </row>
    <row r="348" spans="2:2" ht="14.4" x14ac:dyDescent="0.3">
      <c r="B348" s="4"/>
    </row>
    <row r="349" spans="2:2" ht="14.4" x14ac:dyDescent="0.3">
      <c r="B349" s="4"/>
    </row>
    <row r="350" spans="2:2" ht="14.4" x14ac:dyDescent="0.3">
      <c r="B350" s="4"/>
    </row>
    <row r="351" spans="2:2" ht="14.4" x14ac:dyDescent="0.3">
      <c r="B351" s="4"/>
    </row>
    <row r="352" spans="2:2" ht="14.4" x14ac:dyDescent="0.3">
      <c r="B352" s="4"/>
    </row>
    <row r="353" spans="2:2" ht="14.4" x14ac:dyDescent="0.3">
      <c r="B353" s="4"/>
    </row>
    <row r="354" spans="2:2" ht="14.4" x14ac:dyDescent="0.3">
      <c r="B354" s="4"/>
    </row>
    <row r="355" spans="2:2" ht="14.4" x14ac:dyDescent="0.3">
      <c r="B355" s="4"/>
    </row>
    <row r="356" spans="2:2" ht="14.4" x14ac:dyDescent="0.3">
      <c r="B356" s="4"/>
    </row>
    <row r="357" spans="2:2" ht="14.4" x14ac:dyDescent="0.3">
      <c r="B357" s="4"/>
    </row>
    <row r="358" spans="2:2" ht="14.4" x14ac:dyDescent="0.3">
      <c r="B358" s="4"/>
    </row>
    <row r="359" spans="2:2" ht="14.4" x14ac:dyDescent="0.3">
      <c r="B359" s="4"/>
    </row>
    <row r="360" spans="2:2" ht="14.4" x14ac:dyDescent="0.3">
      <c r="B360" s="4"/>
    </row>
    <row r="361" spans="2:2" ht="14.4" x14ac:dyDescent="0.3">
      <c r="B361" s="4"/>
    </row>
    <row r="362" spans="2:2" ht="14.4" x14ac:dyDescent="0.3">
      <c r="B362" s="4"/>
    </row>
    <row r="363" spans="2:2" ht="14.4" x14ac:dyDescent="0.3">
      <c r="B363" s="4"/>
    </row>
    <row r="364" spans="2:2" ht="14.4" x14ac:dyDescent="0.3">
      <c r="B364" s="4"/>
    </row>
    <row r="365" spans="2:2" ht="14.4" x14ac:dyDescent="0.3">
      <c r="B365" s="4"/>
    </row>
    <row r="366" spans="2:2" ht="14.4" x14ac:dyDescent="0.3">
      <c r="B366" s="4"/>
    </row>
    <row r="367" spans="2:2" ht="14.4" x14ac:dyDescent="0.3">
      <c r="B367" s="4"/>
    </row>
    <row r="368" spans="2:2" ht="14.4" x14ac:dyDescent="0.3">
      <c r="B368" s="4"/>
    </row>
    <row r="369" spans="2:2" ht="14.4" x14ac:dyDescent="0.3">
      <c r="B369" s="4"/>
    </row>
    <row r="370" spans="2:2" ht="14.4" x14ac:dyDescent="0.3">
      <c r="B370" s="4"/>
    </row>
    <row r="371" spans="2:2" ht="14.4" x14ac:dyDescent="0.3">
      <c r="B371" s="4"/>
    </row>
    <row r="372" spans="2:2" ht="14.4" x14ac:dyDescent="0.3">
      <c r="B372" s="4"/>
    </row>
    <row r="373" spans="2:2" ht="14.4" x14ac:dyDescent="0.3">
      <c r="B373" s="4"/>
    </row>
    <row r="374" spans="2:2" ht="14.4" x14ac:dyDescent="0.3">
      <c r="B374" s="4"/>
    </row>
    <row r="375" spans="2:2" ht="14.4" x14ac:dyDescent="0.3">
      <c r="B375" s="4"/>
    </row>
    <row r="376" spans="2:2" ht="14.4" x14ac:dyDescent="0.3">
      <c r="B376" s="4"/>
    </row>
    <row r="377" spans="2:2" ht="14.4" x14ac:dyDescent="0.3">
      <c r="B377" s="4"/>
    </row>
    <row r="378" spans="2:2" ht="14.4" x14ac:dyDescent="0.3">
      <c r="B378" s="4"/>
    </row>
    <row r="379" spans="2:2" ht="14.4" x14ac:dyDescent="0.3">
      <c r="B379" s="4"/>
    </row>
    <row r="380" spans="2:2" ht="14.4" x14ac:dyDescent="0.3">
      <c r="B380" s="4"/>
    </row>
    <row r="381" spans="2:2" ht="14.4" x14ac:dyDescent="0.3">
      <c r="B381" s="4"/>
    </row>
    <row r="382" spans="2:2" ht="14.4" x14ac:dyDescent="0.3">
      <c r="B382" s="4"/>
    </row>
    <row r="383" spans="2:2" ht="14.4" x14ac:dyDescent="0.3">
      <c r="B383" s="4"/>
    </row>
    <row r="384" spans="2:2" ht="14.4" x14ac:dyDescent="0.3">
      <c r="B384" s="4"/>
    </row>
    <row r="385" spans="2:2" ht="14.4" x14ac:dyDescent="0.3">
      <c r="B385" s="4"/>
    </row>
    <row r="386" spans="2:2" ht="14.4" x14ac:dyDescent="0.3">
      <c r="B386" s="4"/>
    </row>
    <row r="387" spans="2:2" ht="14.4" x14ac:dyDescent="0.3">
      <c r="B387" s="4"/>
    </row>
    <row r="388" spans="2:2" ht="14.4" x14ac:dyDescent="0.3">
      <c r="B388" s="4"/>
    </row>
    <row r="389" spans="2:2" ht="14.4" x14ac:dyDescent="0.3">
      <c r="B389" s="4"/>
    </row>
    <row r="390" spans="2:2" ht="14.4" x14ac:dyDescent="0.3">
      <c r="B390" s="4"/>
    </row>
    <row r="391" spans="2:2" ht="14.4" x14ac:dyDescent="0.3">
      <c r="B391" s="4"/>
    </row>
    <row r="392" spans="2:2" ht="14.4" x14ac:dyDescent="0.3">
      <c r="B392" s="4"/>
    </row>
    <row r="393" spans="2:2" ht="14.4" x14ac:dyDescent="0.3">
      <c r="B393" s="4"/>
    </row>
    <row r="394" spans="2:2" ht="14.4" x14ac:dyDescent="0.3">
      <c r="B394" s="4"/>
    </row>
    <row r="395" spans="2:2" ht="14.4" x14ac:dyDescent="0.3">
      <c r="B395" s="4"/>
    </row>
    <row r="396" spans="2:2" ht="14.4" x14ac:dyDescent="0.3">
      <c r="B396" s="4"/>
    </row>
    <row r="397" spans="2:2" ht="14.4" x14ac:dyDescent="0.3">
      <c r="B397" s="4"/>
    </row>
    <row r="398" spans="2:2" ht="14.4" x14ac:dyDescent="0.3">
      <c r="B398" s="4"/>
    </row>
    <row r="399" spans="2:2" ht="14.4" x14ac:dyDescent="0.3">
      <c r="B399" s="4"/>
    </row>
    <row r="400" spans="2:2" ht="14.4" x14ac:dyDescent="0.3">
      <c r="B400" s="4"/>
    </row>
    <row r="401" spans="2:2" ht="14.4" x14ac:dyDescent="0.3">
      <c r="B401" s="4"/>
    </row>
    <row r="402" spans="2:2" ht="14.4" x14ac:dyDescent="0.3">
      <c r="B402" s="4"/>
    </row>
    <row r="403" spans="2:2" ht="14.4" x14ac:dyDescent="0.3">
      <c r="B403" s="4"/>
    </row>
    <row r="404" spans="2:2" ht="14.4" x14ac:dyDescent="0.3">
      <c r="B404" s="4"/>
    </row>
    <row r="405" spans="2:2" ht="14.4" x14ac:dyDescent="0.3">
      <c r="B405" s="4"/>
    </row>
    <row r="406" spans="2:2" ht="14.4" x14ac:dyDescent="0.3">
      <c r="B406" s="4"/>
    </row>
    <row r="407" spans="2:2" ht="14.4" x14ac:dyDescent="0.3">
      <c r="B407" s="4"/>
    </row>
    <row r="408" spans="2:2" ht="14.4" x14ac:dyDescent="0.3">
      <c r="B408" s="4"/>
    </row>
    <row r="409" spans="2:2" ht="14.4" x14ac:dyDescent="0.3">
      <c r="B409" s="4"/>
    </row>
    <row r="410" spans="2:2" ht="14.4" x14ac:dyDescent="0.3">
      <c r="B410" s="4"/>
    </row>
    <row r="411" spans="2:2" ht="14.4" x14ac:dyDescent="0.3">
      <c r="B411" s="4"/>
    </row>
    <row r="412" spans="2:2" ht="14.4" x14ac:dyDescent="0.3">
      <c r="B412" s="4"/>
    </row>
    <row r="413" spans="2:2" ht="14.4" x14ac:dyDescent="0.3">
      <c r="B413" s="4"/>
    </row>
    <row r="414" spans="2:2" ht="14.4" x14ac:dyDescent="0.3">
      <c r="B414" s="4"/>
    </row>
    <row r="415" spans="2:2" ht="14.4" x14ac:dyDescent="0.3">
      <c r="B415" s="4"/>
    </row>
    <row r="416" spans="2:2" ht="14.4" x14ac:dyDescent="0.3">
      <c r="B416" s="4"/>
    </row>
    <row r="417" spans="2:2" ht="14.4" x14ac:dyDescent="0.3">
      <c r="B417" s="4"/>
    </row>
    <row r="418" spans="2:2" ht="14.4" x14ac:dyDescent="0.3">
      <c r="B418" s="4"/>
    </row>
    <row r="419" spans="2:2" ht="14.4" x14ac:dyDescent="0.3">
      <c r="B419" s="4"/>
    </row>
    <row r="420" spans="2:2" ht="14.4" x14ac:dyDescent="0.3">
      <c r="B420" s="4"/>
    </row>
    <row r="421" spans="2:2" ht="14.4" x14ac:dyDescent="0.3">
      <c r="B421" s="4"/>
    </row>
    <row r="422" spans="2:2" ht="14.4" x14ac:dyDescent="0.3">
      <c r="B422" s="4"/>
    </row>
    <row r="423" spans="2:2" ht="14.4" x14ac:dyDescent="0.3">
      <c r="B423" s="4"/>
    </row>
    <row r="424" spans="2:2" ht="14.4" x14ac:dyDescent="0.3">
      <c r="B424" s="4"/>
    </row>
    <row r="425" spans="2:2" ht="14.4" x14ac:dyDescent="0.3">
      <c r="B425" s="4"/>
    </row>
    <row r="426" spans="2:2" ht="14.4" x14ac:dyDescent="0.3">
      <c r="B426" s="4"/>
    </row>
    <row r="427" spans="2:2" ht="14.4" x14ac:dyDescent="0.3">
      <c r="B427" s="4"/>
    </row>
    <row r="428" spans="2:2" ht="14.4" x14ac:dyDescent="0.3">
      <c r="B428" s="4"/>
    </row>
    <row r="429" spans="2:2" ht="14.4" x14ac:dyDescent="0.3">
      <c r="B429" s="4"/>
    </row>
    <row r="430" spans="2:2" ht="14.4" x14ac:dyDescent="0.3">
      <c r="B430" s="4"/>
    </row>
    <row r="431" spans="2:2" ht="14.4" x14ac:dyDescent="0.3">
      <c r="B431" s="4"/>
    </row>
    <row r="432" spans="2:2" ht="14.4" x14ac:dyDescent="0.3">
      <c r="B432" s="4"/>
    </row>
    <row r="433" spans="2:2" ht="14.4" x14ac:dyDescent="0.3">
      <c r="B433" s="4"/>
    </row>
    <row r="434" spans="2:2" ht="14.4" x14ac:dyDescent="0.3">
      <c r="B434" s="4"/>
    </row>
    <row r="435" spans="2:2" ht="14.4" x14ac:dyDescent="0.3">
      <c r="B435" s="4"/>
    </row>
    <row r="436" spans="2:2" ht="14.4" x14ac:dyDescent="0.3">
      <c r="B436" s="4"/>
    </row>
    <row r="437" spans="2:2" ht="14.4" x14ac:dyDescent="0.3">
      <c r="B437" s="4"/>
    </row>
    <row r="438" spans="2:2" ht="14.4" x14ac:dyDescent="0.3">
      <c r="B438" s="4"/>
    </row>
    <row r="439" spans="2:2" ht="14.4" x14ac:dyDescent="0.3">
      <c r="B439" s="4"/>
    </row>
    <row r="440" spans="2:2" ht="14.4" x14ac:dyDescent="0.3">
      <c r="B440" s="4"/>
    </row>
    <row r="441" spans="2:2" ht="14.4" x14ac:dyDescent="0.3">
      <c r="B441" s="4"/>
    </row>
    <row r="442" spans="2:2" ht="14.4" x14ac:dyDescent="0.3">
      <c r="B442" s="4"/>
    </row>
    <row r="443" spans="2:2" ht="14.4" x14ac:dyDescent="0.3">
      <c r="B443" s="4"/>
    </row>
    <row r="444" spans="2:2" ht="14.4" x14ac:dyDescent="0.3">
      <c r="B444" s="4"/>
    </row>
    <row r="445" spans="2:2" ht="14.4" x14ac:dyDescent="0.3">
      <c r="B445" s="4"/>
    </row>
    <row r="446" spans="2:2" ht="14.4" x14ac:dyDescent="0.3">
      <c r="B446" s="4"/>
    </row>
    <row r="447" spans="2:2" ht="14.4" x14ac:dyDescent="0.3">
      <c r="B447" s="4"/>
    </row>
    <row r="448" spans="2:2" ht="14.4" x14ac:dyDescent="0.3">
      <c r="B448" s="4"/>
    </row>
    <row r="449" spans="2:2" ht="14.4" x14ac:dyDescent="0.3">
      <c r="B449" s="4"/>
    </row>
    <row r="450" spans="2:2" ht="14.4" x14ac:dyDescent="0.3">
      <c r="B450" s="4"/>
    </row>
    <row r="451" spans="2:2" ht="14.4" x14ac:dyDescent="0.3">
      <c r="B451" s="4"/>
    </row>
    <row r="452" spans="2:2" ht="14.4" x14ac:dyDescent="0.3">
      <c r="B452" s="4"/>
    </row>
    <row r="453" spans="2:2" ht="14.4" x14ac:dyDescent="0.3">
      <c r="B453" s="4"/>
    </row>
    <row r="454" spans="2:2" ht="14.4" x14ac:dyDescent="0.3">
      <c r="B454" s="4"/>
    </row>
    <row r="455" spans="2:2" ht="14.4" x14ac:dyDescent="0.3">
      <c r="B455" s="4"/>
    </row>
    <row r="456" spans="2:2" ht="14.4" x14ac:dyDescent="0.3">
      <c r="B456" s="4"/>
    </row>
    <row r="457" spans="2:2" ht="14.4" x14ac:dyDescent="0.3">
      <c r="B457" s="4"/>
    </row>
    <row r="458" spans="2:2" ht="14.4" x14ac:dyDescent="0.3">
      <c r="B458" s="4"/>
    </row>
    <row r="459" spans="2:2" ht="14.4" x14ac:dyDescent="0.3">
      <c r="B459" s="4"/>
    </row>
    <row r="460" spans="2:2" ht="14.4" x14ac:dyDescent="0.3">
      <c r="B460" s="4"/>
    </row>
    <row r="461" spans="2:2" ht="14.4" x14ac:dyDescent="0.3">
      <c r="B461" s="4"/>
    </row>
    <row r="462" spans="2:2" ht="14.4" x14ac:dyDescent="0.3">
      <c r="B462" s="4"/>
    </row>
    <row r="463" spans="2:2" ht="14.4" x14ac:dyDescent="0.3">
      <c r="B463" s="4"/>
    </row>
    <row r="464" spans="2:2" ht="14.4" x14ac:dyDescent="0.3">
      <c r="B464" s="4"/>
    </row>
    <row r="465" spans="2:2" ht="14.4" x14ac:dyDescent="0.3">
      <c r="B465" s="4"/>
    </row>
    <row r="466" spans="2:2" ht="14.4" x14ac:dyDescent="0.3">
      <c r="B466" s="4"/>
    </row>
    <row r="467" spans="2:2" ht="14.4" x14ac:dyDescent="0.3">
      <c r="B467" s="4"/>
    </row>
    <row r="468" spans="2:2" ht="14.4" x14ac:dyDescent="0.3">
      <c r="B468" s="4"/>
    </row>
    <row r="469" spans="2:2" ht="14.4" x14ac:dyDescent="0.3">
      <c r="B469" s="4"/>
    </row>
    <row r="470" spans="2:2" ht="14.4" x14ac:dyDescent="0.3">
      <c r="B470" s="4"/>
    </row>
    <row r="471" spans="2:2" ht="14.4" x14ac:dyDescent="0.3">
      <c r="B471" s="4"/>
    </row>
    <row r="472" spans="2:2" ht="14.4" x14ac:dyDescent="0.3">
      <c r="B472" s="4"/>
    </row>
    <row r="473" spans="2:2" ht="14.4" x14ac:dyDescent="0.3">
      <c r="B473" s="4"/>
    </row>
    <row r="474" spans="2:2" ht="14.4" x14ac:dyDescent="0.3">
      <c r="B474" s="4"/>
    </row>
    <row r="475" spans="2:2" ht="14.4" x14ac:dyDescent="0.3">
      <c r="B475" s="4"/>
    </row>
    <row r="476" spans="2:2" ht="14.4" x14ac:dyDescent="0.3">
      <c r="B476" s="4"/>
    </row>
    <row r="477" spans="2:2" ht="14.4" x14ac:dyDescent="0.3">
      <c r="B477" s="4"/>
    </row>
    <row r="478" spans="2:2" ht="14.4" x14ac:dyDescent="0.3">
      <c r="B478" s="4"/>
    </row>
    <row r="479" spans="2:2" ht="14.4" x14ac:dyDescent="0.3">
      <c r="B479" s="4"/>
    </row>
    <row r="480" spans="2:2" ht="14.4" x14ac:dyDescent="0.3">
      <c r="B480" s="4"/>
    </row>
    <row r="481" spans="2:2" ht="14.4" x14ac:dyDescent="0.3">
      <c r="B481" s="4"/>
    </row>
    <row r="482" spans="2:2" ht="14.4" x14ac:dyDescent="0.3">
      <c r="B482" s="4"/>
    </row>
    <row r="483" spans="2:2" ht="14.4" x14ac:dyDescent="0.3">
      <c r="B483" s="4"/>
    </row>
    <row r="484" spans="2:2" ht="14.4" x14ac:dyDescent="0.3">
      <c r="B484" s="4"/>
    </row>
    <row r="485" spans="2:2" ht="14.4" x14ac:dyDescent="0.3">
      <c r="B485" s="4"/>
    </row>
    <row r="486" spans="2:2" ht="14.4" x14ac:dyDescent="0.3">
      <c r="B486" s="4"/>
    </row>
    <row r="487" spans="2:2" ht="14.4" x14ac:dyDescent="0.3">
      <c r="B487" s="4"/>
    </row>
    <row r="488" spans="2:2" ht="14.4" x14ac:dyDescent="0.3">
      <c r="B488" s="4"/>
    </row>
    <row r="489" spans="2:2" ht="14.4" x14ac:dyDescent="0.3">
      <c r="B489" s="4"/>
    </row>
    <row r="490" spans="2:2" ht="14.4" x14ac:dyDescent="0.3">
      <c r="B490" s="4"/>
    </row>
    <row r="491" spans="2:2" ht="14.4" x14ac:dyDescent="0.3">
      <c r="B491" s="4"/>
    </row>
    <row r="492" spans="2:2" ht="14.4" x14ac:dyDescent="0.3">
      <c r="B492" s="4"/>
    </row>
    <row r="493" spans="2:2" ht="14.4" x14ac:dyDescent="0.3">
      <c r="B493" s="4"/>
    </row>
    <row r="494" spans="2:2" ht="14.4" x14ac:dyDescent="0.3">
      <c r="B494" s="4"/>
    </row>
    <row r="495" spans="2:2" ht="14.4" x14ac:dyDescent="0.3">
      <c r="B495" s="4"/>
    </row>
    <row r="496" spans="2:2" ht="14.4" x14ac:dyDescent="0.3">
      <c r="B496" s="4"/>
    </row>
    <row r="497" spans="2:2" ht="14.4" x14ac:dyDescent="0.3">
      <c r="B497" s="4"/>
    </row>
    <row r="498" spans="2:2" ht="14.4" x14ac:dyDescent="0.3">
      <c r="B498" s="4"/>
    </row>
    <row r="499" spans="2:2" ht="14.4" x14ac:dyDescent="0.3">
      <c r="B499" s="4"/>
    </row>
    <row r="500" spans="2:2" ht="14.4" x14ac:dyDescent="0.3">
      <c r="B500" s="4"/>
    </row>
    <row r="501" spans="2:2" ht="14.4" x14ac:dyDescent="0.3">
      <c r="B501" s="4"/>
    </row>
    <row r="502" spans="2:2" ht="14.4" x14ac:dyDescent="0.3">
      <c r="B502" s="4"/>
    </row>
    <row r="503" spans="2:2" ht="14.4" x14ac:dyDescent="0.3">
      <c r="B503" s="4"/>
    </row>
    <row r="504" spans="2:2" ht="14.4" x14ac:dyDescent="0.3">
      <c r="B504" s="4"/>
    </row>
    <row r="505" spans="2:2" ht="14.4" x14ac:dyDescent="0.3">
      <c r="B505" s="4"/>
    </row>
    <row r="506" spans="2:2" ht="14.4" x14ac:dyDescent="0.3">
      <c r="B506" s="4"/>
    </row>
    <row r="507" spans="2:2" ht="14.4" x14ac:dyDescent="0.3">
      <c r="B507" s="4"/>
    </row>
    <row r="508" spans="2:2" ht="14.4" x14ac:dyDescent="0.3">
      <c r="B508" s="4"/>
    </row>
    <row r="509" spans="2:2" ht="14.4" x14ac:dyDescent="0.3">
      <c r="B509" s="4"/>
    </row>
    <row r="510" spans="2:2" ht="14.4" x14ac:dyDescent="0.3">
      <c r="B510" s="4"/>
    </row>
    <row r="511" spans="2:2" ht="14.4" x14ac:dyDescent="0.3">
      <c r="B511" s="4"/>
    </row>
    <row r="512" spans="2:2" ht="14.4" x14ac:dyDescent="0.3">
      <c r="B512" s="4"/>
    </row>
    <row r="513" spans="2:2" ht="14.4" x14ac:dyDescent="0.3">
      <c r="B513" s="4"/>
    </row>
    <row r="514" spans="2:2" ht="14.4" x14ac:dyDescent="0.3">
      <c r="B514" s="4"/>
    </row>
    <row r="515" spans="2:2" ht="14.4" x14ac:dyDescent="0.3">
      <c r="B515" s="4"/>
    </row>
    <row r="516" spans="2:2" ht="14.4" x14ac:dyDescent="0.3">
      <c r="B516" s="4"/>
    </row>
    <row r="517" spans="2:2" ht="14.4" x14ac:dyDescent="0.3">
      <c r="B517" s="4"/>
    </row>
    <row r="518" spans="2:2" ht="14.4" x14ac:dyDescent="0.3">
      <c r="B518" s="4"/>
    </row>
    <row r="519" spans="2:2" ht="14.4" x14ac:dyDescent="0.3">
      <c r="B519" s="4"/>
    </row>
    <row r="520" spans="2:2" ht="14.4" x14ac:dyDescent="0.3">
      <c r="B520" s="4"/>
    </row>
    <row r="521" spans="2:2" ht="14.4" x14ac:dyDescent="0.3">
      <c r="B521" s="4"/>
    </row>
    <row r="522" spans="2:2" ht="14.4" x14ac:dyDescent="0.3">
      <c r="B522" s="4"/>
    </row>
    <row r="523" spans="2:2" ht="14.4" x14ac:dyDescent="0.3">
      <c r="B523" s="4"/>
    </row>
    <row r="524" spans="2:2" ht="14.4" x14ac:dyDescent="0.3">
      <c r="B524" s="4"/>
    </row>
    <row r="525" spans="2:2" ht="14.4" x14ac:dyDescent="0.3">
      <c r="B525" s="4"/>
    </row>
    <row r="526" spans="2:2" ht="14.4" x14ac:dyDescent="0.3">
      <c r="B526" s="4"/>
    </row>
    <row r="527" spans="2:2" ht="14.4" x14ac:dyDescent="0.3">
      <c r="B527" s="4"/>
    </row>
    <row r="528" spans="2:2" ht="14.4" x14ac:dyDescent="0.3">
      <c r="B528" s="4"/>
    </row>
    <row r="529" spans="2:2" ht="14.4" x14ac:dyDescent="0.3">
      <c r="B529" s="4"/>
    </row>
    <row r="530" spans="2:2" ht="14.4" x14ac:dyDescent="0.3">
      <c r="B530" s="4"/>
    </row>
    <row r="531" spans="2:2" ht="14.4" x14ac:dyDescent="0.3">
      <c r="B531" s="4"/>
    </row>
    <row r="532" spans="2:2" ht="14.4" x14ac:dyDescent="0.3">
      <c r="B532" s="4"/>
    </row>
    <row r="533" spans="2:2" ht="14.4" x14ac:dyDescent="0.3">
      <c r="B533" s="4"/>
    </row>
    <row r="534" spans="2:2" ht="14.4" x14ac:dyDescent="0.3">
      <c r="B534" s="4"/>
    </row>
    <row r="535" spans="2:2" ht="14.4" x14ac:dyDescent="0.3">
      <c r="B535" s="4"/>
    </row>
    <row r="536" spans="2:2" ht="14.4" x14ac:dyDescent="0.3">
      <c r="B536" s="4"/>
    </row>
    <row r="537" spans="2:2" ht="14.4" x14ac:dyDescent="0.3">
      <c r="B537" s="4"/>
    </row>
    <row r="538" spans="2:2" ht="14.4" x14ac:dyDescent="0.3">
      <c r="B538" s="4"/>
    </row>
    <row r="539" spans="2:2" ht="14.4" x14ac:dyDescent="0.3">
      <c r="B539" s="4"/>
    </row>
    <row r="540" spans="2:2" ht="14.4" x14ac:dyDescent="0.3">
      <c r="B540" s="4"/>
    </row>
    <row r="541" spans="2:2" ht="14.4" x14ac:dyDescent="0.3">
      <c r="B541" s="4"/>
    </row>
    <row r="542" spans="2:2" ht="14.4" x14ac:dyDescent="0.3">
      <c r="B542" s="4"/>
    </row>
    <row r="543" spans="2:2" ht="14.4" x14ac:dyDescent="0.3">
      <c r="B543" s="4"/>
    </row>
    <row r="544" spans="2:2" ht="14.4" x14ac:dyDescent="0.3">
      <c r="B544" s="4"/>
    </row>
    <row r="545" spans="2:2" ht="14.4" x14ac:dyDescent="0.3">
      <c r="B545" s="4"/>
    </row>
    <row r="546" spans="2:2" ht="14.4" x14ac:dyDescent="0.3">
      <c r="B546" s="4"/>
    </row>
    <row r="547" spans="2:2" ht="14.4" x14ac:dyDescent="0.3">
      <c r="B547" s="4"/>
    </row>
    <row r="548" spans="2:2" ht="14.4" x14ac:dyDescent="0.3">
      <c r="B548" s="4"/>
    </row>
    <row r="549" spans="2:2" ht="14.4" x14ac:dyDescent="0.3">
      <c r="B549" s="4"/>
    </row>
    <row r="550" spans="2:2" ht="14.4" x14ac:dyDescent="0.3">
      <c r="B550" s="4"/>
    </row>
    <row r="551" spans="2:2" ht="14.4" x14ac:dyDescent="0.3">
      <c r="B551" s="4"/>
    </row>
    <row r="552" spans="2:2" ht="14.4" x14ac:dyDescent="0.3">
      <c r="B552" s="4"/>
    </row>
    <row r="553" spans="2:2" ht="14.4" x14ac:dyDescent="0.3">
      <c r="B553" s="4"/>
    </row>
    <row r="554" spans="2:2" ht="14.4" x14ac:dyDescent="0.3">
      <c r="B554" s="4"/>
    </row>
    <row r="555" spans="2:2" ht="14.4" x14ac:dyDescent="0.3">
      <c r="B555" s="4"/>
    </row>
    <row r="556" spans="2:2" ht="14.4" x14ac:dyDescent="0.3">
      <c r="B556" s="4"/>
    </row>
    <row r="557" spans="2:2" ht="14.4" x14ac:dyDescent="0.3">
      <c r="B557" s="4"/>
    </row>
    <row r="558" spans="2:2" ht="14.4" x14ac:dyDescent="0.3">
      <c r="B558" s="4"/>
    </row>
    <row r="559" spans="2:2" ht="14.4" x14ac:dyDescent="0.3">
      <c r="B559" s="4"/>
    </row>
    <row r="560" spans="2:2" ht="14.4" x14ac:dyDescent="0.3">
      <c r="B560" s="4"/>
    </row>
    <row r="561" spans="2:2" ht="14.4" x14ac:dyDescent="0.3">
      <c r="B561" s="4"/>
    </row>
    <row r="562" spans="2:2" ht="14.4" x14ac:dyDescent="0.3">
      <c r="B562" s="4"/>
    </row>
    <row r="563" spans="2:2" ht="14.4" x14ac:dyDescent="0.3">
      <c r="B563" s="4"/>
    </row>
    <row r="564" spans="2:2" ht="14.4" x14ac:dyDescent="0.3">
      <c r="B564" s="4"/>
    </row>
    <row r="565" spans="2:2" ht="14.4" x14ac:dyDescent="0.3">
      <c r="B565" s="4"/>
    </row>
    <row r="566" spans="2:2" ht="14.4" x14ac:dyDescent="0.3">
      <c r="B566" s="4"/>
    </row>
    <row r="567" spans="2:2" ht="14.4" x14ac:dyDescent="0.3">
      <c r="B567" s="4"/>
    </row>
    <row r="568" spans="2:2" ht="14.4" x14ac:dyDescent="0.3">
      <c r="B568" s="4"/>
    </row>
    <row r="569" spans="2:2" ht="14.4" x14ac:dyDescent="0.3">
      <c r="B569" s="4"/>
    </row>
    <row r="570" spans="2:2" ht="14.4" x14ac:dyDescent="0.3">
      <c r="B570" s="4"/>
    </row>
    <row r="571" spans="2:2" ht="14.4" x14ac:dyDescent="0.3">
      <c r="B571" s="4"/>
    </row>
    <row r="572" spans="2:2" ht="14.4" x14ac:dyDescent="0.3">
      <c r="B572" s="4"/>
    </row>
    <row r="573" spans="2:2" ht="14.4" x14ac:dyDescent="0.3">
      <c r="B573" s="4"/>
    </row>
    <row r="574" spans="2:2" ht="14.4" x14ac:dyDescent="0.3">
      <c r="B574" s="4"/>
    </row>
    <row r="575" spans="2:2" ht="14.4" x14ac:dyDescent="0.3">
      <c r="B575" s="4"/>
    </row>
    <row r="576" spans="2:2" ht="14.4" x14ac:dyDescent="0.3">
      <c r="B576" s="4"/>
    </row>
    <row r="577" spans="2:2" ht="14.4" x14ac:dyDescent="0.3">
      <c r="B577" s="4"/>
    </row>
    <row r="578" spans="2:2" ht="14.4" x14ac:dyDescent="0.3">
      <c r="B578" s="4"/>
    </row>
    <row r="579" spans="2:2" ht="14.4" x14ac:dyDescent="0.3">
      <c r="B579" s="4"/>
    </row>
    <row r="580" spans="2:2" ht="14.4" x14ac:dyDescent="0.3">
      <c r="B580" s="4"/>
    </row>
    <row r="581" spans="2:2" ht="14.4" x14ac:dyDescent="0.3">
      <c r="B581" s="4"/>
    </row>
    <row r="582" spans="2:2" ht="14.4" x14ac:dyDescent="0.3">
      <c r="B582" s="4"/>
    </row>
    <row r="583" spans="2:2" ht="14.4" x14ac:dyDescent="0.3">
      <c r="B583" s="4"/>
    </row>
    <row r="584" spans="2:2" ht="14.4" x14ac:dyDescent="0.3">
      <c r="B584" s="4"/>
    </row>
    <row r="585" spans="2:2" ht="14.4" x14ac:dyDescent="0.3">
      <c r="B585" s="4"/>
    </row>
    <row r="586" spans="2:2" ht="14.4" x14ac:dyDescent="0.3">
      <c r="B586" s="4"/>
    </row>
    <row r="587" spans="2:2" ht="14.4" x14ac:dyDescent="0.3">
      <c r="B587" s="4"/>
    </row>
    <row r="588" spans="2:2" ht="14.4" x14ac:dyDescent="0.3">
      <c r="B588" s="4"/>
    </row>
    <row r="589" spans="2:2" ht="14.4" x14ac:dyDescent="0.3">
      <c r="B589" s="4"/>
    </row>
    <row r="590" spans="2:2" ht="14.4" x14ac:dyDescent="0.3">
      <c r="B590" s="4"/>
    </row>
    <row r="591" spans="2:2" ht="14.4" x14ac:dyDescent="0.3">
      <c r="B591" s="4"/>
    </row>
    <row r="592" spans="2:2" ht="14.4" x14ac:dyDescent="0.3">
      <c r="B592" s="4"/>
    </row>
    <row r="593" spans="2:2" ht="14.4" x14ac:dyDescent="0.3">
      <c r="B593" s="4"/>
    </row>
    <row r="594" spans="2:2" ht="14.4" x14ac:dyDescent="0.3">
      <c r="B594" s="4"/>
    </row>
    <row r="595" spans="2:2" ht="14.4" x14ac:dyDescent="0.3">
      <c r="B595" s="4"/>
    </row>
    <row r="596" spans="2:2" ht="14.4" x14ac:dyDescent="0.3">
      <c r="B596" s="4"/>
    </row>
    <row r="597" spans="2:2" ht="14.4" x14ac:dyDescent="0.3">
      <c r="B597" s="4"/>
    </row>
    <row r="598" spans="2:2" ht="14.4" x14ac:dyDescent="0.3">
      <c r="B598" s="4"/>
    </row>
    <row r="599" spans="2:2" ht="14.4" x14ac:dyDescent="0.3">
      <c r="B599" s="4"/>
    </row>
    <row r="600" spans="2:2" ht="14.4" x14ac:dyDescent="0.3">
      <c r="B600" s="4"/>
    </row>
    <row r="601" spans="2:2" ht="14.4" x14ac:dyDescent="0.3">
      <c r="B601" s="4"/>
    </row>
    <row r="602" spans="2:2" ht="14.4" x14ac:dyDescent="0.3">
      <c r="B602" s="4"/>
    </row>
    <row r="603" spans="2:2" ht="14.4" x14ac:dyDescent="0.3">
      <c r="B603" s="4"/>
    </row>
    <row r="604" spans="2:2" ht="14.4" x14ac:dyDescent="0.3">
      <c r="B604" s="4"/>
    </row>
    <row r="605" spans="2:2" ht="14.4" x14ac:dyDescent="0.3">
      <c r="B605" s="4"/>
    </row>
    <row r="606" spans="2:2" ht="14.4" x14ac:dyDescent="0.3">
      <c r="B606" s="4"/>
    </row>
    <row r="607" spans="2:2" ht="14.4" x14ac:dyDescent="0.3">
      <c r="B607" s="4"/>
    </row>
    <row r="608" spans="2:2" ht="14.4" x14ac:dyDescent="0.3">
      <c r="B608" s="4"/>
    </row>
    <row r="609" spans="2:2" ht="14.4" x14ac:dyDescent="0.3">
      <c r="B609" s="4"/>
    </row>
    <row r="610" spans="2:2" ht="14.4" x14ac:dyDescent="0.3">
      <c r="B610" s="4"/>
    </row>
    <row r="611" spans="2:2" ht="14.4" x14ac:dyDescent="0.3">
      <c r="B611" s="4"/>
    </row>
    <row r="612" spans="2:2" ht="14.4" x14ac:dyDescent="0.3">
      <c r="B612" s="4"/>
    </row>
    <row r="613" spans="2:2" ht="14.4" x14ac:dyDescent="0.3">
      <c r="B613" s="4"/>
    </row>
    <row r="614" spans="2:2" ht="14.4" x14ac:dyDescent="0.3">
      <c r="B614" s="4"/>
    </row>
    <row r="615" spans="2:2" ht="14.4" x14ac:dyDescent="0.3">
      <c r="B615" s="4"/>
    </row>
    <row r="616" spans="2:2" ht="14.4" x14ac:dyDescent="0.3">
      <c r="B616" s="4"/>
    </row>
    <row r="617" spans="2:2" ht="14.4" x14ac:dyDescent="0.3">
      <c r="B617" s="4"/>
    </row>
    <row r="618" spans="2:2" ht="14.4" x14ac:dyDescent="0.3">
      <c r="B618" s="4"/>
    </row>
    <row r="619" spans="2:2" ht="14.4" x14ac:dyDescent="0.3">
      <c r="B619" s="4"/>
    </row>
    <row r="620" spans="2:2" ht="14.4" x14ac:dyDescent="0.3">
      <c r="B620" s="4"/>
    </row>
    <row r="621" spans="2:2" ht="14.4" x14ac:dyDescent="0.3">
      <c r="B621" s="4"/>
    </row>
    <row r="622" spans="2:2" ht="14.4" x14ac:dyDescent="0.3">
      <c r="B622" s="4"/>
    </row>
    <row r="623" spans="2:2" ht="14.4" x14ac:dyDescent="0.3">
      <c r="B623" s="4"/>
    </row>
    <row r="624" spans="2:2" ht="14.4" x14ac:dyDescent="0.3">
      <c r="B624" s="4"/>
    </row>
    <row r="625" spans="2:2" ht="14.4" x14ac:dyDescent="0.3">
      <c r="B625" s="4"/>
    </row>
    <row r="626" spans="2:2" ht="14.4" x14ac:dyDescent="0.3">
      <c r="B626" s="4"/>
    </row>
    <row r="627" spans="2:2" ht="14.4" x14ac:dyDescent="0.3">
      <c r="B627" s="4"/>
    </row>
    <row r="628" spans="2:2" ht="14.4" x14ac:dyDescent="0.3">
      <c r="B628" s="4"/>
    </row>
    <row r="629" spans="2:2" ht="14.4" x14ac:dyDescent="0.3">
      <c r="B629" s="4"/>
    </row>
    <row r="630" spans="2:2" ht="14.4" x14ac:dyDescent="0.3">
      <c r="B630" s="4"/>
    </row>
    <row r="631" spans="2:2" ht="14.4" x14ac:dyDescent="0.3">
      <c r="B631" s="4"/>
    </row>
    <row r="632" spans="2:2" ht="14.4" x14ac:dyDescent="0.3">
      <c r="B632" s="4"/>
    </row>
    <row r="633" spans="2:2" ht="14.4" x14ac:dyDescent="0.3">
      <c r="B633" s="4"/>
    </row>
    <row r="634" spans="2:2" ht="14.4" x14ac:dyDescent="0.3">
      <c r="B634" s="4"/>
    </row>
    <row r="635" spans="2:2" ht="14.4" x14ac:dyDescent="0.3">
      <c r="B635" s="4"/>
    </row>
    <row r="636" spans="2:2" ht="14.4" x14ac:dyDescent="0.3">
      <c r="B636" s="4"/>
    </row>
    <row r="637" spans="2:2" ht="14.4" x14ac:dyDescent="0.3">
      <c r="B637" s="4"/>
    </row>
    <row r="638" spans="2:2" ht="14.4" x14ac:dyDescent="0.3">
      <c r="B638" s="4"/>
    </row>
    <row r="639" spans="2:2" ht="14.4" x14ac:dyDescent="0.3">
      <c r="B639" s="4"/>
    </row>
    <row r="640" spans="2:2" ht="14.4" x14ac:dyDescent="0.3">
      <c r="B640" s="4"/>
    </row>
    <row r="641" spans="2:2" ht="14.4" x14ac:dyDescent="0.3">
      <c r="B641" s="4"/>
    </row>
    <row r="642" spans="2:2" ht="14.4" x14ac:dyDescent="0.3">
      <c r="B642" s="4"/>
    </row>
    <row r="643" spans="2:2" ht="14.4" x14ac:dyDescent="0.3">
      <c r="B643" s="4"/>
    </row>
    <row r="644" spans="2:2" ht="14.4" x14ac:dyDescent="0.3">
      <c r="B644" s="4"/>
    </row>
    <row r="645" spans="2:2" ht="14.4" x14ac:dyDescent="0.3">
      <c r="B645" s="4"/>
    </row>
    <row r="646" spans="2:2" ht="14.4" x14ac:dyDescent="0.3">
      <c r="B646" s="4"/>
    </row>
    <row r="647" spans="2:2" ht="14.4" x14ac:dyDescent="0.3">
      <c r="B647" s="4"/>
    </row>
    <row r="648" spans="2:2" ht="14.4" x14ac:dyDescent="0.3">
      <c r="B648" s="4"/>
    </row>
    <row r="649" spans="2:2" ht="14.4" x14ac:dyDescent="0.3">
      <c r="B649" s="4"/>
    </row>
    <row r="650" spans="2:2" ht="14.4" x14ac:dyDescent="0.3">
      <c r="B650" s="4"/>
    </row>
    <row r="651" spans="2:2" ht="14.4" x14ac:dyDescent="0.3">
      <c r="B651" s="4"/>
    </row>
    <row r="652" spans="2:2" ht="14.4" x14ac:dyDescent="0.3">
      <c r="B652" s="4"/>
    </row>
    <row r="653" spans="2:2" ht="14.4" x14ac:dyDescent="0.3">
      <c r="B653" s="4"/>
    </row>
    <row r="654" spans="2:2" ht="14.4" x14ac:dyDescent="0.3">
      <c r="B654" s="4"/>
    </row>
    <row r="655" spans="2:2" ht="14.4" x14ac:dyDescent="0.3">
      <c r="B655" s="4"/>
    </row>
    <row r="656" spans="2:2" ht="14.4" x14ac:dyDescent="0.3">
      <c r="B656" s="4"/>
    </row>
    <row r="657" spans="2:2" ht="14.4" x14ac:dyDescent="0.3">
      <c r="B657" s="4"/>
    </row>
    <row r="658" spans="2:2" ht="14.4" x14ac:dyDescent="0.3">
      <c r="B658" s="4"/>
    </row>
    <row r="659" spans="2:2" ht="14.4" x14ac:dyDescent="0.3">
      <c r="B659" s="4"/>
    </row>
    <row r="660" spans="2:2" ht="14.4" x14ac:dyDescent="0.3">
      <c r="B660" s="4"/>
    </row>
    <row r="661" spans="2:2" ht="14.4" x14ac:dyDescent="0.3">
      <c r="B661" s="4"/>
    </row>
    <row r="662" spans="2:2" ht="14.4" x14ac:dyDescent="0.3">
      <c r="B662" s="4"/>
    </row>
    <row r="663" spans="2:2" ht="14.4" x14ac:dyDescent="0.3">
      <c r="B663" s="4"/>
    </row>
    <row r="664" spans="2:2" ht="14.4" x14ac:dyDescent="0.3">
      <c r="B664" s="4"/>
    </row>
    <row r="665" spans="2:2" ht="14.4" x14ac:dyDescent="0.3">
      <c r="B665" s="4"/>
    </row>
    <row r="666" spans="2:2" ht="14.4" x14ac:dyDescent="0.3">
      <c r="B666" s="4"/>
    </row>
    <row r="667" spans="2:2" ht="14.4" x14ac:dyDescent="0.3">
      <c r="B667" s="4"/>
    </row>
    <row r="668" spans="2:2" ht="14.4" x14ac:dyDescent="0.3">
      <c r="B668" s="4"/>
    </row>
    <row r="669" spans="2:2" ht="14.4" x14ac:dyDescent="0.3">
      <c r="B669" s="4"/>
    </row>
    <row r="670" spans="2:2" ht="14.4" x14ac:dyDescent="0.3">
      <c r="B670" s="4"/>
    </row>
    <row r="671" spans="2:2" ht="14.4" x14ac:dyDescent="0.3">
      <c r="B671" s="4"/>
    </row>
    <row r="672" spans="2:2" ht="14.4" x14ac:dyDescent="0.3">
      <c r="B672" s="4"/>
    </row>
    <row r="673" spans="2:2" ht="14.4" x14ac:dyDescent="0.3">
      <c r="B673" s="4"/>
    </row>
    <row r="674" spans="2:2" ht="14.4" x14ac:dyDescent="0.3">
      <c r="B674" s="4"/>
    </row>
    <row r="675" spans="2:2" ht="14.4" x14ac:dyDescent="0.3">
      <c r="B675" s="4"/>
    </row>
    <row r="676" spans="2:2" ht="14.4" x14ac:dyDescent="0.3">
      <c r="B676" s="4"/>
    </row>
    <row r="677" spans="2:2" ht="14.4" x14ac:dyDescent="0.3">
      <c r="B677" s="4"/>
    </row>
    <row r="678" spans="2:2" ht="14.4" x14ac:dyDescent="0.3">
      <c r="B678" s="4"/>
    </row>
    <row r="679" spans="2:2" ht="14.4" x14ac:dyDescent="0.3">
      <c r="B679" s="4"/>
    </row>
    <row r="680" spans="2:2" ht="14.4" x14ac:dyDescent="0.3">
      <c r="B680" s="4"/>
    </row>
    <row r="681" spans="2:2" ht="14.4" x14ac:dyDescent="0.3">
      <c r="B681" s="4"/>
    </row>
    <row r="682" spans="2:2" ht="14.4" x14ac:dyDescent="0.3">
      <c r="B682" s="4"/>
    </row>
    <row r="683" spans="2:2" ht="14.4" x14ac:dyDescent="0.3">
      <c r="B683" s="4"/>
    </row>
    <row r="684" spans="2:2" ht="14.4" x14ac:dyDescent="0.3">
      <c r="B684" s="4"/>
    </row>
    <row r="685" spans="2:2" ht="14.4" x14ac:dyDescent="0.3">
      <c r="B685" s="4"/>
    </row>
    <row r="686" spans="2:2" ht="14.4" x14ac:dyDescent="0.3">
      <c r="B686" s="4"/>
    </row>
    <row r="687" spans="2:2" ht="14.4" x14ac:dyDescent="0.3">
      <c r="B687" s="4"/>
    </row>
    <row r="688" spans="2:2" ht="14.4" x14ac:dyDescent="0.3">
      <c r="B688" s="4"/>
    </row>
    <row r="689" spans="2:2" ht="14.4" x14ac:dyDescent="0.3">
      <c r="B689" s="4"/>
    </row>
    <row r="690" spans="2:2" ht="14.4" x14ac:dyDescent="0.3">
      <c r="B690" s="4"/>
    </row>
    <row r="691" spans="2:2" ht="14.4" x14ac:dyDescent="0.3">
      <c r="B691" s="4"/>
    </row>
    <row r="692" spans="2:2" ht="14.4" x14ac:dyDescent="0.3">
      <c r="B692" s="4"/>
    </row>
    <row r="693" spans="2:2" ht="14.4" x14ac:dyDescent="0.3">
      <c r="B693" s="4"/>
    </row>
    <row r="694" spans="2:2" ht="14.4" x14ac:dyDescent="0.3">
      <c r="B694" s="4"/>
    </row>
    <row r="695" spans="2:2" ht="14.4" x14ac:dyDescent="0.3">
      <c r="B695" s="4"/>
    </row>
    <row r="696" spans="2:2" ht="14.4" x14ac:dyDescent="0.3">
      <c r="B696" s="4"/>
    </row>
    <row r="697" spans="2:2" ht="14.4" x14ac:dyDescent="0.3">
      <c r="B697" s="4"/>
    </row>
    <row r="698" spans="2:2" ht="14.4" x14ac:dyDescent="0.3">
      <c r="B698" s="4"/>
    </row>
    <row r="699" spans="2:2" ht="14.4" x14ac:dyDescent="0.3">
      <c r="B699" s="4"/>
    </row>
    <row r="700" spans="2:2" ht="14.4" x14ac:dyDescent="0.3">
      <c r="B700" s="4"/>
    </row>
    <row r="701" spans="2:2" ht="14.4" x14ac:dyDescent="0.3">
      <c r="B701" s="4"/>
    </row>
    <row r="702" spans="2:2" ht="14.4" x14ac:dyDescent="0.3">
      <c r="B702" s="4"/>
    </row>
    <row r="703" spans="2:2" ht="14.4" x14ac:dyDescent="0.3">
      <c r="B703" s="4"/>
    </row>
    <row r="704" spans="2:2" ht="14.4" x14ac:dyDescent="0.3">
      <c r="B704" s="4"/>
    </row>
    <row r="705" spans="2:2" ht="14.4" x14ac:dyDescent="0.3">
      <c r="B705" s="4"/>
    </row>
    <row r="706" spans="2:2" ht="14.4" x14ac:dyDescent="0.3">
      <c r="B706" s="4"/>
    </row>
    <row r="707" spans="2:2" ht="14.4" x14ac:dyDescent="0.3">
      <c r="B707" s="4"/>
    </row>
    <row r="708" spans="2:2" ht="14.4" x14ac:dyDescent="0.3">
      <c r="B708" s="4"/>
    </row>
    <row r="709" spans="2:2" ht="14.4" x14ac:dyDescent="0.3">
      <c r="B709" s="4"/>
    </row>
    <row r="710" spans="2:2" ht="14.4" x14ac:dyDescent="0.3">
      <c r="B710" s="4"/>
    </row>
    <row r="711" spans="2:2" ht="14.4" x14ac:dyDescent="0.3">
      <c r="B711" s="4"/>
    </row>
    <row r="712" spans="2:2" ht="14.4" x14ac:dyDescent="0.3">
      <c r="B712" s="4"/>
    </row>
    <row r="713" spans="2:2" ht="14.4" x14ac:dyDescent="0.3">
      <c r="B713" s="4"/>
    </row>
    <row r="714" spans="2:2" ht="14.4" x14ac:dyDescent="0.3">
      <c r="B714" s="4"/>
    </row>
    <row r="715" spans="2:2" ht="14.4" x14ac:dyDescent="0.3">
      <c r="B715" s="4"/>
    </row>
    <row r="716" spans="2:2" ht="14.4" x14ac:dyDescent="0.3">
      <c r="B716" s="4"/>
    </row>
    <row r="717" spans="2:2" ht="14.4" x14ac:dyDescent="0.3">
      <c r="B717" s="4"/>
    </row>
    <row r="718" spans="2:2" ht="14.4" x14ac:dyDescent="0.3">
      <c r="B718" s="4"/>
    </row>
    <row r="719" spans="2:2" ht="14.4" x14ac:dyDescent="0.3">
      <c r="B719" s="4"/>
    </row>
    <row r="720" spans="2:2" ht="14.4" x14ac:dyDescent="0.3">
      <c r="B720" s="4"/>
    </row>
    <row r="721" spans="2:2" ht="14.4" x14ac:dyDescent="0.3">
      <c r="B721" s="4"/>
    </row>
    <row r="722" spans="2:2" ht="14.4" x14ac:dyDescent="0.3">
      <c r="B722" s="4"/>
    </row>
    <row r="723" spans="2:2" ht="14.4" x14ac:dyDescent="0.3">
      <c r="B723" s="4"/>
    </row>
    <row r="724" spans="2:2" ht="14.4" x14ac:dyDescent="0.3">
      <c r="B724" s="4"/>
    </row>
    <row r="725" spans="2:2" ht="14.4" x14ac:dyDescent="0.3">
      <c r="B725" s="4"/>
    </row>
    <row r="726" spans="2:2" ht="14.4" x14ac:dyDescent="0.3">
      <c r="B726" s="4"/>
    </row>
    <row r="727" spans="2:2" ht="14.4" x14ac:dyDescent="0.3">
      <c r="B727" s="4"/>
    </row>
    <row r="728" spans="2:2" ht="14.4" x14ac:dyDescent="0.3">
      <c r="B728" s="4"/>
    </row>
    <row r="729" spans="2:2" ht="14.4" x14ac:dyDescent="0.3">
      <c r="B729" s="4"/>
    </row>
    <row r="730" spans="2:2" ht="14.4" x14ac:dyDescent="0.3">
      <c r="B730" s="4"/>
    </row>
    <row r="731" spans="2:2" ht="14.4" x14ac:dyDescent="0.3">
      <c r="B731" s="4"/>
    </row>
    <row r="732" spans="2:2" ht="14.4" x14ac:dyDescent="0.3">
      <c r="B732" s="4"/>
    </row>
    <row r="733" spans="2:2" ht="14.4" x14ac:dyDescent="0.3">
      <c r="B733" s="4"/>
    </row>
    <row r="734" spans="2:2" ht="14.4" x14ac:dyDescent="0.3">
      <c r="B734" s="4"/>
    </row>
    <row r="735" spans="2:2" ht="14.4" x14ac:dyDescent="0.3">
      <c r="B735" s="4"/>
    </row>
    <row r="736" spans="2:2" ht="14.4" x14ac:dyDescent="0.3">
      <c r="B736" s="4"/>
    </row>
    <row r="737" spans="2:2" ht="14.4" x14ac:dyDescent="0.3">
      <c r="B737" s="4"/>
    </row>
    <row r="738" spans="2:2" ht="14.4" x14ac:dyDescent="0.3">
      <c r="B738" s="4"/>
    </row>
    <row r="739" spans="2:2" ht="14.4" x14ac:dyDescent="0.3">
      <c r="B739" s="4"/>
    </row>
    <row r="740" spans="2:2" ht="14.4" x14ac:dyDescent="0.3">
      <c r="B740" s="4"/>
    </row>
    <row r="741" spans="2:2" ht="14.4" x14ac:dyDescent="0.3">
      <c r="B741" s="4"/>
    </row>
    <row r="742" spans="2:2" ht="14.4" x14ac:dyDescent="0.3">
      <c r="B742" s="4"/>
    </row>
    <row r="743" spans="2:2" ht="14.4" x14ac:dyDescent="0.3">
      <c r="B743" s="4"/>
    </row>
    <row r="744" spans="2:2" ht="14.4" x14ac:dyDescent="0.3">
      <c r="B744" s="4"/>
    </row>
    <row r="745" spans="2:2" ht="14.4" x14ac:dyDescent="0.3">
      <c r="B745" s="4"/>
    </row>
    <row r="746" spans="2:2" ht="14.4" x14ac:dyDescent="0.3">
      <c r="B746" s="4"/>
    </row>
    <row r="747" spans="2:2" ht="14.4" x14ac:dyDescent="0.3">
      <c r="B747" s="4"/>
    </row>
    <row r="748" spans="2:2" ht="14.4" x14ac:dyDescent="0.3">
      <c r="B748" s="4"/>
    </row>
    <row r="749" spans="2:2" ht="14.4" x14ac:dyDescent="0.3">
      <c r="B749" s="4"/>
    </row>
    <row r="750" spans="2:2" ht="14.4" x14ac:dyDescent="0.3">
      <c r="B750" s="4"/>
    </row>
    <row r="751" spans="2:2" ht="14.4" x14ac:dyDescent="0.3">
      <c r="B751" s="4"/>
    </row>
    <row r="752" spans="2:2" ht="14.4" x14ac:dyDescent="0.3">
      <c r="B752" s="4"/>
    </row>
    <row r="753" spans="2:2" ht="14.4" x14ac:dyDescent="0.3">
      <c r="B753" s="4"/>
    </row>
    <row r="754" spans="2:2" ht="14.4" x14ac:dyDescent="0.3">
      <c r="B754" s="4"/>
    </row>
    <row r="755" spans="2:2" ht="14.4" x14ac:dyDescent="0.3">
      <c r="B755" s="4"/>
    </row>
    <row r="756" spans="2:2" ht="14.4" x14ac:dyDescent="0.3">
      <c r="B756" s="4"/>
    </row>
    <row r="757" spans="2:2" ht="14.4" x14ac:dyDescent="0.3">
      <c r="B757" s="4"/>
    </row>
    <row r="758" spans="2:2" ht="14.4" x14ac:dyDescent="0.3">
      <c r="B758" s="4"/>
    </row>
    <row r="759" spans="2:2" ht="14.4" x14ac:dyDescent="0.3">
      <c r="B759" s="4"/>
    </row>
    <row r="760" spans="2:2" ht="14.4" x14ac:dyDescent="0.3">
      <c r="B760" s="4"/>
    </row>
    <row r="761" spans="2:2" ht="14.4" x14ac:dyDescent="0.3">
      <c r="B761" s="4"/>
    </row>
    <row r="762" spans="2:2" ht="14.4" x14ac:dyDescent="0.3">
      <c r="B762" s="4"/>
    </row>
    <row r="763" spans="2:2" ht="14.4" x14ac:dyDescent="0.3">
      <c r="B763" s="4"/>
    </row>
    <row r="764" spans="2:2" ht="14.4" x14ac:dyDescent="0.3">
      <c r="B764" s="4"/>
    </row>
    <row r="765" spans="2:2" ht="14.4" x14ac:dyDescent="0.3">
      <c r="B765" s="4"/>
    </row>
    <row r="766" spans="2:2" ht="14.4" x14ac:dyDescent="0.3">
      <c r="B766" s="4"/>
    </row>
    <row r="767" spans="2:2" ht="14.4" x14ac:dyDescent="0.3">
      <c r="B767" s="4"/>
    </row>
    <row r="768" spans="2:2" ht="14.4" x14ac:dyDescent="0.3">
      <c r="B768" s="4"/>
    </row>
    <row r="769" spans="2:2" ht="14.4" x14ac:dyDescent="0.3">
      <c r="B769" s="4"/>
    </row>
    <row r="770" spans="2:2" ht="14.4" x14ac:dyDescent="0.3">
      <c r="B770" s="4"/>
    </row>
    <row r="771" spans="2:2" ht="14.4" x14ac:dyDescent="0.3">
      <c r="B771" s="4"/>
    </row>
    <row r="772" spans="2:2" ht="14.4" x14ac:dyDescent="0.3">
      <c r="B772" s="4"/>
    </row>
    <row r="773" spans="2:2" ht="14.4" x14ac:dyDescent="0.3">
      <c r="B773" s="4"/>
    </row>
    <row r="774" spans="2:2" ht="14.4" x14ac:dyDescent="0.3">
      <c r="B774" s="4"/>
    </row>
    <row r="775" spans="2:2" ht="14.4" x14ac:dyDescent="0.3">
      <c r="B775" s="4"/>
    </row>
    <row r="776" spans="2:2" ht="14.4" x14ac:dyDescent="0.3">
      <c r="B776" s="4"/>
    </row>
    <row r="777" spans="2:2" ht="14.4" x14ac:dyDescent="0.3">
      <c r="B777" s="4"/>
    </row>
    <row r="778" spans="2:2" ht="14.4" x14ac:dyDescent="0.3">
      <c r="B778" s="4"/>
    </row>
    <row r="779" spans="2:2" ht="14.4" x14ac:dyDescent="0.3">
      <c r="B779" s="4"/>
    </row>
    <row r="780" spans="2:2" ht="14.4" x14ac:dyDescent="0.3">
      <c r="B780" s="4"/>
    </row>
    <row r="781" spans="2:2" ht="14.4" x14ac:dyDescent="0.3">
      <c r="B781" s="4"/>
    </row>
    <row r="782" spans="2:2" ht="14.4" x14ac:dyDescent="0.3">
      <c r="B782" s="4"/>
    </row>
    <row r="783" spans="2:2" ht="14.4" x14ac:dyDescent="0.3">
      <c r="B783" s="4"/>
    </row>
    <row r="784" spans="2:2" ht="14.4" x14ac:dyDescent="0.3">
      <c r="B784" s="4"/>
    </row>
    <row r="785" spans="2:2" ht="14.4" x14ac:dyDescent="0.3">
      <c r="B785" s="4"/>
    </row>
    <row r="786" spans="2:2" ht="14.4" x14ac:dyDescent="0.3">
      <c r="B786" s="4"/>
    </row>
    <row r="787" spans="2:2" ht="14.4" x14ac:dyDescent="0.3">
      <c r="B787" s="4"/>
    </row>
    <row r="788" spans="2:2" ht="14.4" x14ac:dyDescent="0.3">
      <c r="B788" s="4"/>
    </row>
    <row r="789" spans="2:2" ht="14.4" x14ac:dyDescent="0.3">
      <c r="B789" s="4"/>
    </row>
    <row r="790" spans="2:2" ht="14.4" x14ac:dyDescent="0.3">
      <c r="B790" s="4"/>
    </row>
    <row r="791" spans="2:2" ht="14.4" x14ac:dyDescent="0.3">
      <c r="B791" s="4"/>
    </row>
    <row r="792" spans="2:2" ht="14.4" x14ac:dyDescent="0.3">
      <c r="B792" s="4"/>
    </row>
    <row r="793" spans="2:2" ht="14.4" x14ac:dyDescent="0.3">
      <c r="B793" s="4"/>
    </row>
    <row r="794" spans="2:2" ht="14.4" x14ac:dyDescent="0.3">
      <c r="B794" s="4"/>
    </row>
    <row r="795" spans="2:2" ht="14.4" x14ac:dyDescent="0.3">
      <c r="B795" s="4"/>
    </row>
    <row r="796" spans="2:2" ht="14.4" x14ac:dyDescent="0.3">
      <c r="B796" s="4"/>
    </row>
    <row r="797" spans="2:2" ht="14.4" x14ac:dyDescent="0.3">
      <c r="B797" s="4"/>
    </row>
    <row r="798" spans="2:2" ht="14.4" x14ac:dyDescent="0.3">
      <c r="B798" s="4"/>
    </row>
    <row r="799" spans="2:2" ht="14.4" x14ac:dyDescent="0.3">
      <c r="B799" s="4"/>
    </row>
    <row r="800" spans="2:2" ht="14.4" x14ac:dyDescent="0.3">
      <c r="B800" s="4"/>
    </row>
    <row r="801" spans="2:2" ht="14.4" x14ac:dyDescent="0.3">
      <c r="B801" s="4"/>
    </row>
    <row r="802" spans="2:2" ht="14.4" x14ac:dyDescent="0.3">
      <c r="B802" s="4"/>
    </row>
    <row r="803" spans="2:2" ht="14.4" x14ac:dyDescent="0.3">
      <c r="B803" s="4"/>
    </row>
    <row r="804" spans="2:2" ht="14.4" x14ac:dyDescent="0.3">
      <c r="B804" s="4"/>
    </row>
    <row r="805" spans="2:2" ht="14.4" x14ac:dyDescent="0.3">
      <c r="B805" s="4"/>
    </row>
    <row r="806" spans="2:2" ht="14.4" x14ac:dyDescent="0.3">
      <c r="B806" s="4"/>
    </row>
    <row r="807" spans="2:2" ht="14.4" x14ac:dyDescent="0.3">
      <c r="B807" s="4"/>
    </row>
    <row r="808" spans="2:2" ht="14.4" x14ac:dyDescent="0.3">
      <c r="B808" s="4"/>
    </row>
    <row r="809" spans="2:2" ht="14.4" x14ac:dyDescent="0.3">
      <c r="B809" s="4"/>
    </row>
    <row r="810" spans="2:2" ht="14.4" x14ac:dyDescent="0.3">
      <c r="B810" s="4"/>
    </row>
    <row r="811" spans="2:2" ht="14.4" x14ac:dyDescent="0.3">
      <c r="B811" s="4"/>
    </row>
    <row r="812" spans="2:2" ht="14.4" x14ac:dyDescent="0.3">
      <c r="B812" s="4"/>
    </row>
    <row r="813" spans="2:2" ht="14.4" x14ac:dyDescent="0.3">
      <c r="B813" s="4"/>
    </row>
    <row r="814" spans="2:2" ht="14.4" x14ac:dyDescent="0.3">
      <c r="B814" s="4"/>
    </row>
    <row r="815" spans="2:2" ht="14.4" x14ac:dyDescent="0.3">
      <c r="B815" s="4"/>
    </row>
    <row r="816" spans="2:2" ht="14.4" x14ac:dyDescent="0.3">
      <c r="B816" s="4"/>
    </row>
    <row r="817" spans="2:2" ht="14.4" x14ac:dyDescent="0.3">
      <c r="B817" s="4"/>
    </row>
    <row r="818" spans="2:2" ht="14.4" x14ac:dyDescent="0.3">
      <c r="B818" s="4"/>
    </row>
    <row r="819" spans="2:2" ht="14.4" x14ac:dyDescent="0.3">
      <c r="B819" s="4"/>
    </row>
    <row r="820" spans="2:2" ht="14.4" x14ac:dyDescent="0.3">
      <c r="B820" s="4"/>
    </row>
    <row r="821" spans="2:2" ht="14.4" x14ac:dyDescent="0.3">
      <c r="B821" s="4"/>
    </row>
    <row r="822" spans="2:2" ht="14.4" x14ac:dyDescent="0.3">
      <c r="B822" s="4"/>
    </row>
    <row r="823" spans="2:2" ht="14.4" x14ac:dyDescent="0.3">
      <c r="B823" s="4"/>
    </row>
    <row r="824" spans="2:2" ht="14.4" x14ac:dyDescent="0.3">
      <c r="B824" s="4"/>
    </row>
    <row r="825" spans="2:2" ht="14.4" x14ac:dyDescent="0.3">
      <c r="B825" s="4"/>
    </row>
    <row r="826" spans="2:2" ht="14.4" x14ac:dyDescent="0.3">
      <c r="B826" s="4"/>
    </row>
    <row r="827" spans="2:2" ht="14.4" x14ac:dyDescent="0.3">
      <c r="B827" s="4"/>
    </row>
    <row r="828" spans="2:2" ht="14.4" x14ac:dyDescent="0.3">
      <c r="B828" s="4"/>
    </row>
    <row r="829" spans="2:2" ht="14.4" x14ac:dyDescent="0.3">
      <c r="B829" s="4"/>
    </row>
    <row r="830" spans="2:2" ht="14.4" x14ac:dyDescent="0.3">
      <c r="B830" s="4"/>
    </row>
    <row r="831" spans="2:2" ht="14.4" x14ac:dyDescent="0.3">
      <c r="B831" s="4"/>
    </row>
    <row r="832" spans="2:2" ht="14.4" x14ac:dyDescent="0.3">
      <c r="B832" s="4"/>
    </row>
    <row r="833" spans="2:2" ht="14.4" x14ac:dyDescent="0.3">
      <c r="B833" s="4"/>
    </row>
    <row r="834" spans="2:2" ht="14.4" x14ac:dyDescent="0.3">
      <c r="B834" s="4"/>
    </row>
    <row r="835" spans="2:2" ht="14.4" x14ac:dyDescent="0.3">
      <c r="B835" s="4"/>
    </row>
    <row r="836" spans="2:2" ht="14.4" x14ac:dyDescent="0.3">
      <c r="B836" s="4"/>
    </row>
    <row r="837" spans="2:2" ht="14.4" x14ac:dyDescent="0.3">
      <c r="B837" s="4"/>
    </row>
    <row r="838" spans="2:2" ht="14.4" x14ac:dyDescent="0.3">
      <c r="B838" s="4"/>
    </row>
    <row r="839" spans="2:2" ht="14.4" x14ac:dyDescent="0.3">
      <c r="B839" s="4"/>
    </row>
    <row r="840" spans="2:2" ht="14.4" x14ac:dyDescent="0.3">
      <c r="B840" s="4"/>
    </row>
    <row r="841" spans="2:2" ht="14.4" x14ac:dyDescent="0.3">
      <c r="B841" s="4"/>
    </row>
    <row r="842" spans="2:2" ht="14.4" x14ac:dyDescent="0.3">
      <c r="B842" s="4"/>
    </row>
    <row r="843" spans="2:2" ht="14.4" x14ac:dyDescent="0.3">
      <c r="B843" s="4"/>
    </row>
    <row r="844" spans="2:2" ht="14.4" x14ac:dyDescent="0.3">
      <c r="B844" s="4"/>
    </row>
    <row r="845" spans="2:2" ht="14.4" x14ac:dyDescent="0.3">
      <c r="B845" s="4"/>
    </row>
    <row r="846" spans="2:2" ht="14.4" x14ac:dyDescent="0.3">
      <c r="B846" s="4"/>
    </row>
    <row r="847" spans="2:2" ht="14.4" x14ac:dyDescent="0.3">
      <c r="B847" s="4"/>
    </row>
    <row r="848" spans="2:2" ht="14.4" x14ac:dyDescent="0.3">
      <c r="B848" s="4"/>
    </row>
    <row r="849" spans="2:2" ht="14.4" x14ac:dyDescent="0.3">
      <c r="B849" s="4"/>
    </row>
    <row r="850" spans="2:2" ht="14.4" x14ac:dyDescent="0.3">
      <c r="B850" s="4"/>
    </row>
    <row r="851" spans="2:2" ht="14.4" x14ac:dyDescent="0.3">
      <c r="B851" s="4"/>
    </row>
    <row r="852" spans="2:2" ht="14.4" x14ac:dyDescent="0.3">
      <c r="B852" s="4"/>
    </row>
    <row r="853" spans="2:2" ht="14.4" x14ac:dyDescent="0.3">
      <c r="B853" s="4"/>
    </row>
    <row r="854" spans="2:2" ht="14.4" x14ac:dyDescent="0.3">
      <c r="B854" s="4"/>
    </row>
    <row r="855" spans="2:2" ht="14.4" x14ac:dyDescent="0.3">
      <c r="B855" s="4"/>
    </row>
    <row r="856" spans="2:2" ht="14.4" x14ac:dyDescent="0.3">
      <c r="B856" s="4"/>
    </row>
    <row r="857" spans="2:2" ht="14.4" x14ac:dyDescent="0.3">
      <c r="B857" s="4"/>
    </row>
    <row r="858" spans="2:2" ht="14.4" x14ac:dyDescent="0.3">
      <c r="B858" s="4"/>
    </row>
    <row r="859" spans="2:2" ht="14.4" x14ac:dyDescent="0.3">
      <c r="B859" s="4"/>
    </row>
    <row r="860" spans="2:2" ht="14.4" x14ac:dyDescent="0.3">
      <c r="B860" s="4"/>
    </row>
    <row r="861" spans="2:2" ht="14.4" x14ac:dyDescent="0.3">
      <c r="B861" s="4"/>
    </row>
    <row r="862" spans="2:2" ht="14.4" x14ac:dyDescent="0.3">
      <c r="B862" s="4"/>
    </row>
    <row r="863" spans="2:2" ht="14.4" x14ac:dyDescent="0.3">
      <c r="B863" s="4"/>
    </row>
    <row r="864" spans="2:2" ht="14.4" x14ac:dyDescent="0.3">
      <c r="B864" s="4"/>
    </row>
    <row r="865" spans="2:2" ht="14.4" x14ac:dyDescent="0.3">
      <c r="B865" s="4"/>
    </row>
    <row r="866" spans="2:2" ht="14.4" x14ac:dyDescent="0.3">
      <c r="B866" s="4"/>
    </row>
    <row r="867" spans="2:2" ht="14.4" x14ac:dyDescent="0.3">
      <c r="B867" s="4"/>
    </row>
    <row r="868" spans="2:2" ht="14.4" x14ac:dyDescent="0.3">
      <c r="B868" s="4"/>
    </row>
    <row r="869" spans="2:2" ht="14.4" x14ac:dyDescent="0.3">
      <c r="B869" s="4"/>
    </row>
    <row r="870" spans="2:2" ht="14.4" x14ac:dyDescent="0.3">
      <c r="B870" s="4"/>
    </row>
    <row r="871" spans="2:2" ht="14.4" x14ac:dyDescent="0.3">
      <c r="B871" s="4"/>
    </row>
    <row r="872" spans="2:2" ht="14.4" x14ac:dyDescent="0.3">
      <c r="B872" s="4"/>
    </row>
    <row r="873" spans="2:2" ht="14.4" x14ac:dyDescent="0.3">
      <c r="B873" s="4"/>
    </row>
    <row r="874" spans="2:2" ht="14.4" x14ac:dyDescent="0.3">
      <c r="B874" s="4"/>
    </row>
    <row r="875" spans="2:2" ht="14.4" x14ac:dyDescent="0.3">
      <c r="B875" s="4"/>
    </row>
    <row r="876" spans="2:2" ht="14.4" x14ac:dyDescent="0.3">
      <c r="B876" s="4"/>
    </row>
    <row r="877" spans="2:2" ht="14.4" x14ac:dyDescent="0.3">
      <c r="B877" s="4"/>
    </row>
    <row r="878" spans="2:2" ht="14.4" x14ac:dyDescent="0.3">
      <c r="B878" s="4"/>
    </row>
    <row r="879" spans="2:2" ht="14.4" x14ac:dyDescent="0.3">
      <c r="B879" s="4"/>
    </row>
    <row r="880" spans="2:2" ht="14.4" x14ac:dyDescent="0.3">
      <c r="B880" s="4"/>
    </row>
    <row r="881" spans="2:2" ht="14.4" x14ac:dyDescent="0.3">
      <c r="B881" s="4"/>
    </row>
    <row r="882" spans="2:2" ht="14.4" x14ac:dyDescent="0.3">
      <c r="B882" s="4"/>
    </row>
    <row r="883" spans="2:2" ht="14.4" x14ac:dyDescent="0.3">
      <c r="B883" s="4"/>
    </row>
    <row r="884" spans="2:2" ht="14.4" x14ac:dyDescent="0.3">
      <c r="B884" s="4"/>
    </row>
    <row r="885" spans="2:2" ht="14.4" x14ac:dyDescent="0.3">
      <c r="B885" s="4"/>
    </row>
    <row r="886" spans="2:2" ht="14.4" x14ac:dyDescent="0.3">
      <c r="B886" s="4"/>
    </row>
    <row r="887" spans="2:2" ht="14.4" x14ac:dyDescent="0.3">
      <c r="B887" s="4"/>
    </row>
    <row r="888" spans="2:2" ht="14.4" x14ac:dyDescent="0.3">
      <c r="B888" s="4"/>
    </row>
    <row r="889" spans="2:2" ht="14.4" x14ac:dyDescent="0.3">
      <c r="B889" s="4"/>
    </row>
    <row r="890" spans="2:2" ht="14.4" x14ac:dyDescent="0.3">
      <c r="B890" s="4"/>
    </row>
    <row r="891" spans="2:2" ht="14.4" x14ac:dyDescent="0.3">
      <c r="B891" s="4"/>
    </row>
    <row r="892" spans="2:2" ht="14.4" x14ac:dyDescent="0.3">
      <c r="B892" s="4"/>
    </row>
    <row r="893" spans="2:2" ht="14.4" x14ac:dyDescent="0.3">
      <c r="B893" s="4"/>
    </row>
    <row r="894" spans="2:2" ht="14.4" x14ac:dyDescent="0.3">
      <c r="B894" s="4"/>
    </row>
    <row r="895" spans="2:2" ht="14.4" x14ac:dyDescent="0.3">
      <c r="B895" s="4"/>
    </row>
    <row r="896" spans="2:2" ht="14.4" x14ac:dyDescent="0.3">
      <c r="B896" s="4"/>
    </row>
    <row r="897" spans="2:2" ht="14.4" x14ac:dyDescent="0.3">
      <c r="B897" s="4"/>
    </row>
    <row r="898" spans="2:2" ht="14.4" x14ac:dyDescent="0.3">
      <c r="B898" s="4"/>
    </row>
    <row r="899" spans="2:2" ht="14.4" x14ac:dyDescent="0.3">
      <c r="B899" s="4"/>
    </row>
    <row r="900" spans="2:2" ht="14.4" x14ac:dyDescent="0.3">
      <c r="B900" s="4"/>
    </row>
    <row r="901" spans="2:2" ht="14.4" x14ac:dyDescent="0.3">
      <c r="B901" s="4"/>
    </row>
    <row r="902" spans="2:2" ht="14.4" x14ac:dyDescent="0.3">
      <c r="B902" s="4"/>
    </row>
    <row r="903" spans="2:2" ht="14.4" x14ac:dyDescent="0.3">
      <c r="B903" s="4"/>
    </row>
    <row r="904" spans="2:2" ht="14.4" x14ac:dyDescent="0.3">
      <c r="B904" s="4"/>
    </row>
    <row r="905" spans="2:2" ht="14.4" x14ac:dyDescent="0.3">
      <c r="B905" s="4"/>
    </row>
    <row r="906" spans="2:2" ht="14.4" x14ac:dyDescent="0.3">
      <c r="B906" s="4"/>
    </row>
    <row r="907" spans="2:2" ht="14.4" x14ac:dyDescent="0.3">
      <c r="B907" s="4"/>
    </row>
    <row r="908" spans="2:2" ht="14.4" x14ac:dyDescent="0.3">
      <c r="B908" s="4"/>
    </row>
    <row r="909" spans="2:2" ht="14.4" x14ac:dyDescent="0.3">
      <c r="B909" s="4"/>
    </row>
    <row r="910" spans="2:2" ht="14.4" x14ac:dyDescent="0.3">
      <c r="B910" s="4"/>
    </row>
    <row r="911" spans="2:2" ht="14.4" x14ac:dyDescent="0.3">
      <c r="B911" s="4"/>
    </row>
    <row r="912" spans="2:2" ht="14.4" x14ac:dyDescent="0.3">
      <c r="B912" s="4"/>
    </row>
    <row r="913" spans="2:2" ht="14.4" x14ac:dyDescent="0.3">
      <c r="B913" s="4"/>
    </row>
    <row r="914" spans="2:2" ht="14.4" x14ac:dyDescent="0.3">
      <c r="B914" s="4"/>
    </row>
    <row r="915" spans="2:2" ht="14.4" x14ac:dyDescent="0.3">
      <c r="B915" s="4"/>
    </row>
    <row r="916" spans="2:2" ht="14.4" x14ac:dyDescent="0.3">
      <c r="B916" s="4"/>
    </row>
    <row r="917" spans="2:2" ht="14.4" x14ac:dyDescent="0.3">
      <c r="B917" s="4"/>
    </row>
    <row r="918" spans="2:2" ht="14.4" x14ac:dyDescent="0.3">
      <c r="B918" s="4"/>
    </row>
    <row r="919" spans="2:2" ht="14.4" x14ac:dyDescent="0.3">
      <c r="B919" s="4"/>
    </row>
    <row r="920" spans="2:2" ht="14.4" x14ac:dyDescent="0.3">
      <c r="B920" s="4"/>
    </row>
    <row r="921" spans="2:2" ht="14.4" x14ac:dyDescent="0.3">
      <c r="B921" s="4"/>
    </row>
    <row r="922" spans="2:2" ht="14.4" x14ac:dyDescent="0.3">
      <c r="B922" s="4"/>
    </row>
    <row r="923" spans="2:2" ht="14.4" x14ac:dyDescent="0.3">
      <c r="B923" s="4"/>
    </row>
    <row r="924" spans="2:2" ht="14.4" x14ac:dyDescent="0.3">
      <c r="B924" s="4"/>
    </row>
    <row r="925" spans="2:2" ht="14.4" x14ac:dyDescent="0.3">
      <c r="B925" s="4"/>
    </row>
    <row r="926" spans="2:2" ht="14.4" x14ac:dyDescent="0.3">
      <c r="B926" s="4"/>
    </row>
    <row r="927" spans="2:2" ht="14.4" x14ac:dyDescent="0.3">
      <c r="B927" s="4"/>
    </row>
    <row r="928" spans="2:2" ht="14.4" x14ac:dyDescent="0.3">
      <c r="B928" s="4"/>
    </row>
    <row r="929" spans="2:2" ht="14.4" x14ac:dyDescent="0.3">
      <c r="B929" s="4"/>
    </row>
    <row r="930" spans="2:2" ht="14.4" x14ac:dyDescent="0.3">
      <c r="B930" s="4"/>
    </row>
    <row r="931" spans="2:2" ht="14.4" x14ac:dyDescent="0.3">
      <c r="B931" s="4"/>
    </row>
    <row r="932" spans="2:2" ht="14.4" x14ac:dyDescent="0.3">
      <c r="B932" s="4"/>
    </row>
    <row r="933" spans="2:2" ht="14.4" x14ac:dyDescent="0.3">
      <c r="B933" s="4"/>
    </row>
    <row r="934" spans="2:2" ht="14.4" x14ac:dyDescent="0.3">
      <c r="B934" s="4"/>
    </row>
    <row r="935" spans="2:2" ht="14.4" x14ac:dyDescent="0.3">
      <c r="B935" s="4"/>
    </row>
    <row r="936" spans="2:2" ht="14.4" x14ac:dyDescent="0.3">
      <c r="B936" s="4"/>
    </row>
    <row r="937" spans="2:2" ht="14.4" x14ac:dyDescent="0.3">
      <c r="B937" s="4"/>
    </row>
    <row r="938" spans="2:2" ht="14.4" x14ac:dyDescent="0.3">
      <c r="B938" s="4"/>
    </row>
    <row r="939" spans="2:2" ht="14.4" x14ac:dyDescent="0.3">
      <c r="B939" s="4"/>
    </row>
    <row r="940" spans="2:2" ht="14.4" x14ac:dyDescent="0.3">
      <c r="B940" s="4"/>
    </row>
    <row r="941" spans="2:2" ht="14.4" x14ac:dyDescent="0.3">
      <c r="B941" s="4"/>
    </row>
    <row r="942" spans="2:2" ht="14.4" x14ac:dyDescent="0.3">
      <c r="B942" s="4"/>
    </row>
    <row r="943" spans="2:2" ht="14.4" x14ac:dyDescent="0.3">
      <c r="B943" s="4"/>
    </row>
    <row r="944" spans="2:2" ht="14.4" x14ac:dyDescent="0.3">
      <c r="B944" s="4"/>
    </row>
    <row r="945" spans="2:2" ht="14.4" x14ac:dyDescent="0.3">
      <c r="B945" s="4"/>
    </row>
    <row r="946" spans="2:2" ht="14.4" x14ac:dyDescent="0.3">
      <c r="B946" s="4"/>
    </row>
    <row r="947" spans="2:2" ht="14.4" x14ac:dyDescent="0.3">
      <c r="B947" s="4"/>
    </row>
    <row r="948" spans="2:2" ht="14.4" x14ac:dyDescent="0.3">
      <c r="B948" s="4"/>
    </row>
    <row r="949" spans="2:2" ht="14.4" x14ac:dyDescent="0.3">
      <c r="B949" s="4"/>
    </row>
    <row r="950" spans="2:2" ht="14.4" x14ac:dyDescent="0.3">
      <c r="B950" s="4"/>
    </row>
    <row r="951" spans="2:2" ht="14.4" x14ac:dyDescent="0.3">
      <c r="B951" s="4"/>
    </row>
    <row r="952" spans="2:2" ht="14.4" x14ac:dyDescent="0.3">
      <c r="B952" s="4"/>
    </row>
    <row r="953" spans="2:2" ht="14.4" x14ac:dyDescent="0.3">
      <c r="B953" s="4"/>
    </row>
    <row r="954" spans="2:2" ht="14.4" x14ac:dyDescent="0.3">
      <c r="B954" s="4"/>
    </row>
    <row r="955" spans="2:2" ht="14.4" x14ac:dyDescent="0.3">
      <c r="B955" s="4"/>
    </row>
    <row r="956" spans="2:2" ht="14.4" x14ac:dyDescent="0.3">
      <c r="B956" s="4"/>
    </row>
    <row r="957" spans="2:2" ht="14.4" x14ac:dyDescent="0.3">
      <c r="B957" s="4"/>
    </row>
    <row r="958" spans="2:2" ht="14.4" x14ac:dyDescent="0.3">
      <c r="B958" s="4"/>
    </row>
    <row r="959" spans="2:2" ht="14.4" x14ac:dyDescent="0.3">
      <c r="B959" s="4"/>
    </row>
    <row r="960" spans="2:2" ht="14.4" x14ac:dyDescent="0.3">
      <c r="B960" s="4"/>
    </row>
    <row r="961" spans="2:2" ht="14.4" x14ac:dyDescent="0.3">
      <c r="B961" s="4"/>
    </row>
    <row r="962" spans="2:2" ht="14.4" x14ac:dyDescent="0.3">
      <c r="B962" s="4"/>
    </row>
    <row r="963" spans="2:2" ht="14.4" x14ac:dyDescent="0.3">
      <c r="B963" s="4"/>
    </row>
    <row r="964" spans="2:2" ht="14.4" x14ac:dyDescent="0.3">
      <c r="B964" s="4"/>
    </row>
    <row r="965" spans="2:2" ht="14.4" x14ac:dyDescent="0.3">
      <c r="B965" s="4"/>
    </row>
    <row r="966" spans="2:2" ht="14.4" x14ac:dyDescent="0.3">
      <c r="B966" s="4"/>
    </row>
    <row r="967" spans="2:2" ht="14.4" x14ac:dyDescent="0.3">
      <c r="B967" s="4"/>
    </row>
    <row r="968" spans="2:2" ht="14.4" x14ac:dyDescent="0.3">
      <c r="B968" s="4"/>
    </row>
    <row r="969" spans="2:2" ht="14.4" x14ac:dyDescent="0.3">
      <c r="B969" s="4"/>
    </row>
    <row r="970" spans="2:2" ht="14.4" x14ac:dyDescent="0.3">
      <c r="B970" s="4"/>
    </row>
    <row r="971" spans="2:2" ht="14.4" x14ac:dyDescent="0.3">
      <c r="B971" s="4"/>
    </row>
    <row r="972" spans="2:2" ht="14.4" x14ac:dyDescent="0.3">
      <c r="B972" s="4"/>
    </row>
    <row r="973" spans="2:2" ht="14.4" x14ac:dyDescent="0.3">
      <c r="B973" s="4"/>
    </row>
    <row r="974" spans="2:2" ht="14.4" x14ac:dyDescent="0.3">
      <c r="B974" s="4"/>
    </row>
    <row r="975" spans="2:2" ht="14.4" x14ac:dyDescent="0.3">
      <c r="B975" s="4"/>
    </row>
    <row r="976" spans="2:2" ht="14.4" x14ac:dyDescent="0.3">
      <c r="B976" s="4"/>
    </row>
    <row r="977" spans="2:2" ht="14.4" x14ac:dyDescent="0.3">
      <c r="B977" s="4"/>
    </row>
    <row r="978" spans="2:2" ht="14.4" x14ac:dyDescent="0.3">
      <c r="B978" s="4"/>
    </row>
    <row r="979" spans="2:2" ht="14.4" x14ac:dyDescent="0.3">
      <c r="B979" s="4"/>
    </row>
    <row r="980" spans="2:2" ht="14.4" x14ac:dyDescent="0.3">
      <c r="B980" s="4"/>
    </row>
    <row r="981" spans="2:2" ht="14.4" x14ac:dyDescent="0.3">
      <c r="B981" s="4"/>
    </row>
    <row r="982" spans="2:2" ht="14.4" x14ac:dyDescent="0.3">
      <c r="B982" s="4"/>
    </row>
    <row r="983" spans="2:2" ht="14.4" x14ac:dyDescent="0.3">
      <c r="B983" s="4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228A-4818-4C83-8914-AF7B43343278}">
  <sheetPr>
    <tabColor theme="5" tint="0.59999389629810485"/>
  </sheetPr>
  <dimension ref="A1:M999"/>
  <sheetViews>
    <sheetView workbookViewId="0">
      <selection activeCell="P32" sqref="P32"/>
    </sheetView>
  </sheetViews>
  <sheetFormatPr defaultColWidth="12.5546875" defaultRowHeight="15" customHeight="1" x14ac:dyDescent="0.3"/>
  <cols>
    <col min="1" max="1" width="8.88671875" customWidth="1"/>
    <col min="2" max="13" width="5.5546875" customWidth="1"/>
    <col min="14" max="26" width="8.5546875" customWidth="1"/>
  </cols>
  <sheetData>
    <row r="1" spans="1:13" ht="14.4" x14ac:dyDescent="0.3">
      <c r="A1" s="10" t="s">
        <v>33</v>
      </c>
      <c r="B1" s="12" t="s">
        <v>101</v>
      </c>
      <c r="C1" s="12" t="s">
        <v>102</v>
      </c>
      <c r="D1" s="12" t="s">
        <v>103</v>
      </c>
      <c r="E1" s="12" t="s">
        <v>104</v>
      </c>
      <c r="F1" s="12" t="s">
        <v>105</v>
      </c>
      <c r="G1" s="12" t="s">
        <v>106</v>
      </c>
      <c r="H1" s="12" t="s">
        <v>107</v>
      </c>
      <c r="I1" s="12" t="s">
        <v>108</v>
      </c>
      <c r="J1" s="12" t="s">
        <v>109</v>
      </c>
      <c r="K1" s="12" t="s">
        <v>110</v>
      </c>
      <c r="L1" s="12" t="s">
        <v>111</v>
      </c>
      <c r="M1" s="12" t="s">
        <v>112</v>
      </c>
    </row>
    <row r="2" spans="1:13" ht="14.4" x14ac:dyDescent="0.3">
      <c r="A2" s="1">
        <v>422111</v>
      </c>
      <c r="C2" s="1">
        <v>60</v>
      </c>
      <c r="H2" s="1">
        <v>15</v>
      </c>
    </row>
    <row r="3" spans="1:13" ht="14.4" x14ac:dyDescent="0.3">
      <c r="A3" s="1">
        <v>422112</v>
      </c>
      <c r="C3" s="1">
        <v>20</v>
      </c>
      <c r="I3" s="1">
        <v>20</v>
      </c>
    </row>
    <row r="4" spans="1:13" ht="14.4" x14ac:dyDescent="0.3">
      <c r="A4" s="1">
        <v>422113</v>
      </c>
      <c r="C4" s="1">
        <v>50</v>
      </c>
    </row>
    <row r="5" spans="1:13" ht="14.4" x14ac:dyDescent="0.3">
      <c r="A5" s="1">
        <v>422114</v>
      </c>
      <c r="E5" s="1">
        <v>25</v>
      </c>
      <c r="G5" s="1">
        <v>15</v>
      </c>
    </row>
    <row r="6" spans="1:13" ht="14.4" x14ac:dyDescent="0.3">
      <c r="A6" s="1">
        <v>422115</v>
      </c>
      <c r="K6" s="1">
        <v>24</v>
      </c>
    </row>
    <row r="7" spans="1:13" ht="14.4" x14ac:dyDescent="0.3">
      <c r="A7" s="1">
        <v>422116</v>
      </c>
    </row>
    <row r="8" spans="1:13" ht="14.4" x14ac:dyDescent="0.3">
      <c r="A8" s="1">
        <v>422117</v>
      </c>
      <c r="C8" s="1">
        <v>10</v>
      </c>
      <c r="G8" s="1">
        <v>5</v>
      </c>
    </row>
    <row r="9" spans="1:13" ht="14.4" x14ac:dyDescent="0.3">
      <c r="A9" s="1">
        <v>422118</v>
      </c>
      <c r="G9" s="1">
        <v>14</v>
      </c>
      <c r="H9" s="1">
        <v>16</v>
      </c>
      <c r="L9" s="1">
        <v>10</v>
      </c>
      <c r="M9" s="1">
        <v>20</v>
      </c>
    </row>
    <row r="10" spans="1:13" ht="14.4" x14ac:dyDescent="0.3">
      <c r="A10" s="1">
        <v>422119</v>
      </c>
      <c r="E10" s="1">
        <v>25</v>
      </c>
    </row>
    <row r="11" spans="1:13" ht="14.4" x14ac:dyDescent="0.3">
      <c r="A11" s="1">
        <v>422120</v>
      </c>
      <c r="E11" s="1">
        <v>20</v>
      </c>
      <c r="F11" s="1">
        <v>15</v>
      </c>
      <c r="J11" s="1">
        <v>17</v>
      </c>
    </row>
    <row r="12" spans="1:13" ht="14.4" x14ac:dyDescent="0.3">
      <c r="A12" s="1">
        <v>422121</v>
      </c>
      <c r="H12" s="1">
        <v>15</v>
      </c>
    </row>
    <row r="13" spans="1:13" ht="14.4" x14ac:dyDescent="0.3">
      <c r="A13" s="1">
        <v>422122</v>
      </c>
      <c r="H13" s="1">
        <v>25</v>
      </c>
    </row>
    <row r="14" spans="1:13" ht="14.4" x14ac:dyDescent="0.3">
      <c r="A14" s="1">
        <v>422123</v>
      </c>
      <c r="E14" s="1">
        <v>43</v>
      </c>
      <c r="H14" s="1">
        <v>30</v>
      </c>
    </row>
    <row r="15" spans="1:13" ht="14.4" x14ac:dyDescent="0.3">
      <c r="A15" s="1">
        <v>422124</v>
      </c>
      <c r="F15" s="1">
        <v>20</v>
      </c>
      <c r="G15" s="1">
        <v>20</v>
      </c>
    </row>
    <row r="16" spans="1:13" ht="14.4" x14ac:dyDescent="0.3">
      <c r="A16" s="1">
        <v>422125</v>
      </c>
      <c r="L16" s="1">
        <v>10</v>
      </c>
      <c r="M16" s="1">
        <v>10</v>
      </c>
    </row>
    <row r="17" spans="1:13" ht="14.4" x14ac:dyDescent="0.3">
      <c r="A17" s="1">
        <v>422126</v>
      </c>
      <c r="I17" s="1">
        <v>44</v>
      </c>
    </row>
    <row r="18" spans="1:13" ht="14.4" x14ac:dyDescent="0.3">
      <c r="A18" s="1">
        <v>422127</v>
      </c>
      <c r="G18" s="1">
        <v>23</v>
      </c>
    </row>
    <row r="19" spans="1:13" ht="14.4" x14ac:dyDescent="0.3">
      <c r="A19" s="1">
        <v>422128</v>
      </c>
      <c r="F19" s="1">
        <v>22</v>
      </c>
      <c r="H19" s="1">
        <v>30</v>
      </c>
    </row>
    <row r="20" spans="1:13" ht="15.75" customHeight="1" x14ac:dyDescent="0.3">
      <c r="A20" s="1">
        <v>422129</v>
      </c>
      <c r="M20" s="1">
        <v>15</v>
      </c>
    </row>
    <row r="21" spans="1:13" ht="15.75" customHeight="1" x14ac:dyDescent="0.3">
      <c r="A21" s="1">
        <v>422130</v>
      </c>
      <c r="C21" s="1">
        <v>20</v>
      </c>
    </row>
    <row r="22" spans="1:13" ht="15.75" customHeight="1" x14ac:dyDescent="0.3">
      <c r="A22" s="1">
        <v>422131</v>
      </c>
      <c r="E22" s="1">
        <v>20</v>
      </c>
      <c r="K22" s="1">
        <v>10</v>
      </c>
    </row>
    <row r="23" spans="1:13" ht="15.75" customHeight="1" x14ac:dyDescent="0.3">
      <c r="A23" s="1">
        <v>422132</v>
      </c>
    </row>
    <row r="24" spans="1:13" ht="15.75" customHeight="1" x14ac:dyDescent="0.3">
      <c r="A24" s="1">
        <v>422133</v>
      </c>
      <c r="H24" s="1">
        <v>20</v>
      </c>
    </row>
    <row r="25" spans="1:13" ht="15.75" customHeight="1" x14ac:dyDescent="0.3">
      <c r="A25" s="1">
        <v>422134</v>
      </c>
      <c r="H25" s="1">
        <v>30</v>
      </c>
      <c r="I25" s="1">
        <v>20</v>
      </c>
    </row>
    <row r="26" spans="1:13" ht="15.75" customHeight="1" x14ac:dyDescent="0.3">
      <c r="A26" s="1">
        <v>422135</v>
      </c>
      <c r="E26" s="1">
        <v>30</v>
      </c>
      <c r="M26" s="1">
        <v>15</v>
      </c>
    </row>
    <row r="27" spans="1:13" ht="15.75" customHeight="1" x14ac:dyDescent="0.3">
      <c r="A27" s="1">
        <v>422136</v>
      </c>
    </row>
    <row r="28" spans="1:13" ht="15.75" customHeight="1" x14ac:dyDescent="0.3">
      <c r="A28" s="1">
        <v>422137</v>
      </c>
      <c r="I28" s="1">
        <v>30</v>
      </c>
      <c r="K28" s="1">
        <v>15</v>
      </c>
    </row>
    <row r="29" spans="1:13" ht="15.75" customHeight="1" x14ac:dyDescent="0.3">
      <c r="A29" s="1">
        <v>422138</v>
      </c>
      <c r="D29" s="1">
        <v>20</v>
      </c>
    </row>
    <row r="30" spans="1:13" ht="15.75" customHeight="1" x14ac:dyDescent="0.3">
      <c r="A30" s="1">
        <v>422139</v>
      </c>
      <c r="E30" s="1">
        <v>20</v>
      </c>
      <c r="G30" s="1">
        <v>15</v>
      </c>
    </row>
    <row r="31" spans="1:13" ht="15.75" customHeight="1" x14ac:dyDescent="0.3">
      <c r="A31" s="1">
        <v>422140</v>
      </c>
      <c r="G31" s="1">
        <v>50</v>
      </c>
      <c r="L31" s="1">
        <v>13</v>
      </c>
    </row>
    <row r="32" spans="1:13" ht="15.75" customHeight="1" x14ac:dyDescent="0.3">
      <c r="A32" s="1">
        <v>422141</v>
      </c>
      <c r="M32" s="1">
        <v>7</v>
      </c>
    </row>
    <row r="33" spans="1:13" ht="15.75" customHeight="1" x14ac:dyDescent="0.3">
      <c r="A33" s="1">
        <v>422142</v>
      </c>
      <c r="G33" s="1">
        <v>30</v>
      </c>
    </row>
    <row r="34" spans="1:13" ht="15.75" customHeight="1" x14ac:dyDescent="0.3">
      <c r="A34" s="1">
        <v>422143</v>
      </c>
      <c r="G34" s="1">
        <v>40</v>
      </c>
      <c r="H34" s="1">
        <v>18</v>
      </c>
    </row>
    <row r="35" spans="1:13" ht="15.75" customHeight="1" x14ac:dyDescent="0.3">
      <c r="A35" s="1">
        <v>422144</v>
      </c>
      <c r="G35" s="1">
        <v>30</v>
      </c>
      <c r="I35" s="1">
        <v>24</v>
      </c>
    </row>
    <row r="36" spans="1:13" ht="15.75" customHeight="1" x14ac:dyDescent="0.3">
      <c r="A36" s="1">
        <v>422145</v>
      </c>
      <c r="D36" s="1">
        <v>22</v>
      </c>
    </row>
    <row r="37" spans="1:13" ht="15.75" customHeight="1" x14ac:dyDescent="0.3">
      <c r="A37" s="1">
        <v>422146</v>
      </c>
      <c r="G37" s="1">
        <v>30</v>
      </c>
      <c r="H37" s="1">
        <v>25</v>
      </c>
      <c r="M37" s="1">
        <v>7</v>
      </c>
    </row>
    <row r="38" spans="1:13" ht="15.75" customHeight="1" x14ac:dyDescent="0.3">
      <c r="A38" s="1">
        <v>422147</v>
      </c>
      <c r="E38" s="1">
        <v>17</v>
      </c>
      <c r="G38" s="1">
        <v>60</v>
      </c>
      <c r="H38" s="1">
        <v>30</v>
      </c>
    </row>
    <row r="39" spans="1:13" ht="15.75" customHeight="1" x14ac:dyDescent="0.3">
      <c r="A39" s="1">
        <v>422148</v>
      </c>
      <c r="E39" s="1">
        <v>25</v>
      </c>
      <c r="I39" s="1">
        <v>7</v>
      </c>
    </row>
    <row r="40" spans="1:13" ht="15.75" customHeight="1" x14ac:dyDescent="0.3"/>
    <row r="41" spans="1:13" ht="15.75" customHeight="1" x14ac:dyDescent="0.3">
      <c r="A41" s="1" cm="1">
        <f t="array" ref="A41">COUNTA(_xlfn.UNIQUE(_xlfn._xlws.FILTER(A2:A39, A2:A39 &lt;&gt; "")))</f>
        <v>38</v>
      </c>
    </row>
    <row r="42" spans="1:13" ht="15.75" customHeight="1" x14ac:dyDescent="0.3"/>
    <row r="43" spans="1:13" ht="15.75" customHeight="1" x14ac:dyDescent="0.3"/>
    <row r="44" spans="1:13" ht="15.75" customHeight="1" x14ac:dyDescent="0.3"/>
    <row r="45" spans="1:13" ht="15.75" customHeight="1" x14ac:dyDescent="0.3"/>
    <row r="46" spans="1:13" ht="15.75" customHeight="1" x14ac:dyDescent="0.3"/>
    <row r="47" spans="1:13" ht="15.75" customHeight="1" x14ac:dyDescent="0.3"/>
    <row r="48" spans="1:13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2DC5-7661-4491-B858-3503083D0884}">
  <sheetPr>
    <tabColor theme="5" tint="0.59999389629810485"/>
  </sheetPr>
  <dimension ref="A1:H62"/>
  <sheetViews>
    <sheetView workbookViewId="0">
      <selection activeCell="I11" sqref="I11"/>
    </sheetView>
  </sheetViews>
  <sheetFormatPr defaultRowHeight="14.4" x14ac:dyDescent="0.3"/>
  <cols>
    <col min="2" max="2" width="15.44140625" customWidth="1"/>
    <col min="3" max="3" width="16.44140625" customWidth="1"/>
    <col min="4" max="4" width="20.6640625" customWidth="1"/>
    <col min="5" max="5" width="16.109375" customWidth="1"/>
  </cols>
  <sheetData>
    <row r="1" spans="1:8" x14ac:dyDescent="0.3">
      <c r="A1" t="s">
        <v>33</v>
      </c>
      <c r="B1" t="s">
        <v>113</v>
      </c>
      <c r="C1" t="s">
        <v>114</v>
      </c>
      <c r="D1" t="s">
        <v>115</v>
      </c>
      <c r="E1" t="s">
        <v>55</v>
      </c>
      <c r="F1" t="s">
        <v>34</v>
      </c>
    </row>
    <row r="2" spans="1:8" x14ac:dyDescent="0.3">
      <c r="A2" cm="1">
        <f t="array" ref="A2:C62">_xlfn.LET(
_xlpm.batch,'Copy Line downtime'!$A$2:$A$39,
_xlpm.factors,'Copy Line downtime'!$B$1:$M$1,
_xlpm.values,'Copy Line downtime'!$B$2:$M$39,
_xlpm.n,ROWS(_xlpm.batch),
_xlpm.k,COLUMNS(_xlpm.values),
_xlpm.s,_xlfn.SEQUENCE(_xlpm.n*_xlpm.k),
_xlpm.b,INDEX(_xlpm.batch,MOD(_xlpm.s-1,_xlpm.n)+1),
_xlpm.f,--INDEX(_xlpm.factors,1,INT((_xlpm.s-1)/_xlpm.n)+1),
_xlpm.v,INDEX(_xlpm.values,MOD(_xlpm.s-1,_xlpm.n)+1,INT((_xlpm.s-1)/_xlpm.n)+1),
_xlfn._xlws.FILTER(_xlfn.HSTACK(_xlpm.b,_xlpm.f,_xlpm.v),_xlpm.v&lt;&gt;"")
)</f>
        <v>422111</v>
      </c>
      <c r="B2" s="13">
        <v>2</v>
      </c>
      <c r="C2" s="13">
        <v>60</v>
      </c>
      <c r="D2" t="str">
        <f>_xlfn.XLOOKUP(B2,'Downtime factors'!$A$2:$A$13,'Downtime factors'!$B$2:$B$13,"Not Found")</f>
        <v>Batch change</v>
      </c>
      <c r="E2" t="str">
        <f>_xlfn.XLOOKUP(B2,'Downtime factors'!$A$2:$A$13,'Downtime factors'!$C$2:$C$13,"Not Found")</f>
        <v>Yes</v>
      </c>
      <c r="F2" t="str">
        <f>_xlfn.XLOOKUP(A2,'Line productivity'!$C$2:$C$39,'Line productivity'!$D$2:$D$39,"Not Found")</f>
        <v>Mac</v>
      </c>
      <c r="G2" t="b">
        <f>B2='Downtime factors'!A3</f>
        <v>1</v>
      </c>
      <c r="H2" t="b">
        <f>ISTEXT(B2)</f>
        <v>0</v>
      </c>
    </row>
    <row r="3" spans="1:8" x14ac:dyDescent="0.3">
      <c r="A3">
        <v>422112</v>
      </c>
      <c r="B3" s="13">
        <v>2</v>
      </c>
      <c r="C3" s="13">
        <v>20</v>
      </c>
      <c r="D3" t="str">
        <f>_xlfn.XLOOKUP(B3,'Downtime factors'!$A$2:$A$13,'Downtime factors'!$B$2:$B$13,"Not Found")</f>
        <v>Batch change</v>
      </c>
      <c r="E3" t="str">
        <f>_xlfn.XLOOKUP(B3,'Downtime factors'!$A$2:$A$13,'Downtime factors'!$C$2:$C$13,"Not Found")</f>
        <v>Yes</v>
      </c>
      <c r="F3" t="str">
        <f>_xlfn.XLOOKUP(A3,'Line productivity'!$C$2:$C$39,'Line productivity'!$D$2:$D$39,"Not Found")</f>
        <v>Mac</v>
      </c>
    </row>
    <row r="4" spans="1:8" x14ac:dyDescent="0.3">
      <c r="A4">
        <v>422113</v>
      </c>
      <c r="B4" s="13">
        <v>2</v>
      </c>
      <c r="C4" s="13">
        <v>50</v>
      </c>
      <c r="D4" t="str">
        <f>_xlfn.XLOOKUP(B4,'Downtime factors'!$A$2:$A$13,'Downtime factors'!$B$2:$B$13,"Not Found")</f>
        <v>Batch change</v>
      </c>
      <c r="E4" t="str">
        <f>_xlfn.XLOOKUP(B4,'Downtime factors'!$A$2:$A$13,'Downtime factors'!$C$2:$C$13,"Not Found")</f>
        <v>Yes</v>
      </c>
      <c r="F4" t="str">
        <f>_xlfn.XLOOKUP(A4,'Line productivity'!$C$2:$C$39,'Line productivity'!$D$2:$D$39,"Not Found")</f>
        <v>Mac</v>
      </c>
    </row>
    <row r="5" spans="1:8" x14ac:dyDescent="0.3">
      <c r="A5">
        <v>422117</v>
      </c>
      <c r="B5" s="13">
        <v>2</v>
      </c>
      <c r="C5" s="13">
        <v>10</v>
      </c>
      <c r="D5" t="str">
        <f>_xlfn.XLOOKUP(B5,'Downtime factors'!$A$2:$A$13,'Downtime factors'!$B$2:$B$13,"Not Found")</f>
        <v>Batch change</v>
      </c>
      <c r="E5" t="str">
        <f>_xlfn.XLOOKUP(B5,'Downtime factors'!$A$2:$A$13,'Downtime factors'!$C$2:$C$13,"Not Found")</f>
        <v>Yes</v>
      </c>
      <c r="F5" t="str">
        <f>_xlfn.XLOOKUP(A5,'Line productivity'!$C$2:$C$39,'Line productivity'!$D$2:$D$39,"Not Found")</f>
        <v>Charlie</v>
      </c>
    </row>
    <row r="6" spans="1:8" x14ac:dyDescent="0.3">
      <c r="A6">
        <v>422130</v>
      </c>
      <c r="B6" s="13">
        <v>2</v>
      </c>
      <c r="C6" s="13">
        <v>20</v>
      </c>
      <c r="D6" t="str">
        <f>_xlfn.XLOOKUP(B6,'Downtime factors'!$A$2:$A$13,'Downtime factors'!$B$2:$B$13,"Not Found")</f>
        <v>Batch change</v>
      </c>
      <c r="E6" t="str">
        <f>_xlfn.XLOOKUP(B6,'Downtime factors'!$A$2:$A$13,'Downtime factors'!$C$2:$C$13,"Not Found")</f>
        <v>Yes</v>
      </c>
      <c r="F6" t="str">
        <f>_xlfn.XLOOKUP(A6,'Line productivity'!$C$2:$C$39,'Line productivity'!$D$2:$D$39,"Not Found")</f>
        <v>Dee</v>
      </c>
    </row>
    <row r="7" spans="1:8" x14ac:dyDescent="0.3">
      <c r="A7">
        <v>422138</v>
      </c>
      <c r="B7" s="13">
        <v>3</v>
      </c>
      <c r="C7" s="13">
        <v>20</v>
      </c>
      <c r="D7" t="str">
        <f>_xlfn.XLOOKUP(B7,'Downtime factors'!$A$2:$A$13,'Downtime factors'!$B$2:$B$13,"Not Found")</f>
        <v>Labeling error</v>
      </c>
      <c r="E7" t="str">
        <f>_xlfn.XLOOKUP(B7,'Downtime factors'!$A$2:$A$13,'Downtime factors'!$C$2:$C$13,"Not Found")</f>
        <v>No</v>
      </c>
      <c r="F7" t="str">
        <f>_xlfn.XLOOKUP(A7,'Line productivity'!$C$2:$C$39,'Line productivity'!$D$2:$D$39,"Not Found")</f>
        <v>Dee</v>
      </c>
    </row>
    <row r="8" spans="1:8" x14ac:dyDescent="0.3">
      <c r="A8">
        <v>422145</v>
      </c>
      <c r="B8" s="13">
        <v>3</v>
      </c>
      <c r="C8" s="13">
        <v>22</v>
      </c>
      <c r="D8" t="str">
        <f>_xlfn.XLOOKUP(B8,'Downtime factors'!$A$2:$A$13,'Downtime factors'!$B$2:$B$13,"Not Found")</f>
        <v>Labeling error</v>
      </c>
      <c r="E8" t="str">
        <f>_xlfn.XLOOKUP(B8,'Downtime factors'!$A$2:$A$13,'Downtime factors'!$C$2:$C$13,"Not Found")</f>
        <v>No</v>
      </c>
      <c r="F8" t="str">
        <f>_xlfn.XLOOKUP(A8,'Line productivity'!$C$2:$C$39,'Line productivity'!$D$2:$D$39,"Not Found")</f>
        <v>Charlie</v>
      </c>
    </row>
    <row r="9" spans="1:8" x14ac:dyDescent="0.3">
      <c r="A9">
        <v>422114</v>
      </c>
      <c r="B9" s="13">
        <v>4</v>
      </c>
      <c r="C9" s="13">
        <v>25</v>
      </c>
      <c r="D9" t="str">
        <f>_xlfn.XLOOKUP(B9,'Downtime factors'!$A$2:$A$13,'Downtime factors'!$B$2:$B$13,"Not Found")</f>
        <v>Inventory shortage</v>
      </c>
      <c r="E9" t="str">
        <f>_xlfn.XLOOKUP(B9,'Downtime factors'!$A$2:$A$13,'Downtime factors'!$C$2:$C$13,"Not Found")</f>
        <v>No</v>
      </c>
      <c r="F9" t="str">
        <f>_xlfn.XLOOKUP(A9,'Line productivity'!$C$2:$C$39,'Line productivity'!$D$2:$D$39,"Not Found")</f>
        <v>Mac</v>
      </c>
    </row>
    <row r="10" spans="1:8" x14ac:dyDescent="0.3">
      <c r="A10">
        <v>422119</v>
      </c>
      <c r="B10" s="13">
        <v>4</v>
      </c>
      <c r="C10" s="13">
        <v>25</v>
      </c>
      <c r="D10" t="str">
        <f>_xlfn.XLOOKUP(B10,'Downtime factors'!$A$2:$A$13,'Downtime factors'!$B$2:$B$13,"Not Found")</f>
        <v>Inventory shortage</v>
      </c>
      <c r="E10" t="str">
        <f>_xlfn.XLOOKUP(B10,'Downtime factors'!$A$2:$A$13,'Downtime factors'!$C$2:$C$13,"Not Found")</f>
        <v>No</v>
      </c>
      <c r="F10" t="str">
        <f>_xlfn.XLOOKUP(A10,'Line productivity'!$C$2:$C$39,'Line productivity'!$D$2:$D$39,"Not Found")</f>
        <v>Dee</v>
      </c>
    </row>
    <row r="11" spans="1:8" x14ac:dyDescent="0.3">
      <c r="A11">
        <v>422120</v>
      </c>
      <c r="B11" s="13">
        <v>4</v>
      </c>
      <c r="C11" s="13">
        <v>20</v>
      </c>
      <c r="D11" t="str">
        <f>_xlfn.XLOOKUP(B11,'Downtime factors'!$A$2:$A$13,'Downtime factors'!$B$2:$B$13,"Not Found")</f>
        <v>Inventory shortage</v>
      </c>
      <c r="E11" t="str">
        <f>_xlfn.XLOOKUP(B11,'Downtime factors'!$A$2:$A$13,'Downtime factors'!$C$2:$C$13,"Not Found")</f>
        <v>No</v>
      </c>
      <c r="F11" t="str">
        <f>_xlfn.XLOOKUP(A11,'Line productivity'!$C$2:$C$39,'Line productivity'!$D$2:$D$39,"Not Found")</f>
        <v>Dee</v>
      </c>
    </row>
    <row r="12" spans="1:8" x14ac:dyDescent="0.3">
      <c r="A12">
        <v>422123</v>
      </c>
      <c r="B12" s="13">
        <v>4</v>
      </c>
      <c r="C12" s="13">
        <v>43</v>
      </c>
      <c r="D12" t="str">
        <f>_xlfn.XLOOKUP(B12,'Downtime factors'!$A$2:$A$13,'Downtime factors'!$B$2:$B$13,"Not Found")</f>
        <v>Inventory shortage</v>
      </c>
      <c r="E12" t="str">
        <f>_xlfn.XLOOKUP(B12,'Downtime factors'!$A$2:$A$13,'Downtime factors'!$C$2:$C$13,"Not Found")</f>
        <v>No</v>
      </c>
      <c r="F12" t="str">
        <f>_xlfn.XLOOKUP(A12,'Line productivity'!$C$2:$C$39,'Line productivity'!$D$2:$D$39,"Not Found")</f>
        <v>Dennis</v>
      </c>
    </row>
    <row r="13" spans="1:8" x14ac:dyDescent="0.3">
      <c r="A13">
        <v>422131</v>
      </c>
      <c r="B13" s="13">
        <v>4</v>
      </c>
      <c r="C13" s="13">
        <v>20</v>
      </c>
      <c r="D13" t="str">
        <f>_xlfn.XLOOKUP(B13,'Downtime factors'!$A$2:$A$13,'Downtime factors'!$B$2:$B$13,"Not Found")</f>
        <v>Inventory shortage</v>
      </c>
      <c r="E13" t="str">
        <f>_xlfn.XLOOKUP(B13,'Downtime factors'!$A$2:$A$13,'Downtime factors'!$C$2:$C$13,"Not Found")</f>
        <v>No</v>
      </c>
      <c r="F13" t="str">
        <f>_xlfn.XLOOKUP(A13,'Line productivity'!$C$2:$C$39,'Line productivity'!$D$2:$D$39,"Not Found")</f>
        <v>Dee</v>
      </c>
    </row>
    <row r="14" spans="1:8" x14ac:dyDescent="0.3">
      <c r="A14">
        <v>422135</v>
      </c>
      <c r="B14" s="13">
        <v>4</v>
      </c>
      <c r="C14" s="13">
        <v>30</v>
      </c>
      <c r="D14" t="str">
        <f>_xlfn.XLOOKUP(B14,'Downtime factors'!$A$2:$A$13,'Downtime factors'!$B$2:$B$13,"Not Found")</f>
        <v>Inventory shortage</v>
      </c>
      <c r="E14" t="str">
        <f>_xlfn.XLOOKUP(B14,'Downtime factors'!$A$2:$A$13,'Downtime factors'!$C$2:$C$13,"Not Found")</f>
        <v>No</v>
      </c>
      <c r="F14" t="str">
        <f>_xlfn.XLOOKUP(A14,'Line productivity'!$C$2:$C$39,'Line productivity'!$D$2:$D$39,"Not Found")</f>
        <v>Mac</v>
      </c>
    </row>
    <row r="15" spans="1:8" x14ac:dyDescent="0.3">
      <c r="A15">
        <v>422139</v>
      </c>
      <c r="B15" s="13">
        <v>4</v>
      </c>
      <c r="C15" s="13">
        <v>20</v>
      </c>
      <c r="D15" t="str">
        <f>_xlfn.XLOOKUP(B15,'Downtime factors'!$A$2:$A$13,'Downtime factors'!$B$2:$B$13,"Not Found")</f>
        <v>Inventory shortage</v>
      </c>
      <c r="E15" t="str">
        <f>_xlfn.XLOOKUP(B15,'Downtime factors'!$A$2:$A$13,'Downtime factors'!$C$2:$C$13,"Not Found")</f>
        <v>No</v>
      </c>
      <c r="F15" t="str">
        <f>_xlfn.XLOOKUP(A15,'Line productivity'!$C$2:$C$39,'Line productivity'!$D$2:$D$39,"Not Found")</f>
        <v>Dee</v>
      </c>
    </row>
    <row r="16" spans="1:8" x14ac:dyDescent="0.3">
      <c r="A16">
        <v>422147</v>
      </c>
      <c r="B16" s="13">
        <v>4</v>
      </c>
      <c r="C16" s="13">
        <v>17</v>
      </c>
      <c r="D16" t="str">
        <f>_xlfn.XLOOKUP(B16,'Downtime factors'!$A$2:$A$13,'Downtime factors'!$B$2:$B$13,"Not Found")</f>
        <v>Inventory shortage</v>
      </c>
      <c r="E16" t="str">
        <f>_xlfn.XLOOKUP(B16,'Downtime factors'!$A$2:$A$13,'Downtime factors'!$C$2:$C$13,"Not Found")</f>
        <v>No</v>
      </c>
      <c r="F16" t="str">
        <f>_xlfn.XLOOKUP(A16,'Line productivity'!$C$2:$C$39,'Line productivity'!$D$2:$D$39,"Not Found")</f>
        <v>Charlie</v>
      </c>
    </row>
    <row r="17" spans="1:6" x14ac:dyDescent="0.3">
      <c r="A17">
        <v>422148</v>
      </c>
      <c r="B17" s="13">
        <v>4</v>
      </c>
      <c r="C17" s="13">
        <v>25</v>
      </c>
      <c r="D17" t="str">
        <f>_xlfn.XLOOKUP(B17,'Downtime factors'!$A$2:$A$13,'Downtime factors'!$B$2:$B$13,"Not Found")</f>
        <v>Inventory shortage</v>
      </c>
      <c r="E17" t="str">
        <f>_xlfn.XLOOKUP(B17,'Downtime factors'!$A$2:$A$13,'Downtime factors'!$C$2:$C$13,"Not Found")</f>
        <v>No</v>
      </c>
      <c r="F17" t="str">
        <f>_xlfn.XLOOKUP(A17,'Line productivity'!$C$2:$C$39,'Line productivity'!$D$2:$D$39,"Not Found")</f>
        <v>Mac</v>
      </c>
    </row>
    <row r="18" spans="1:6" x14ac:dyDescent="0.3">
      <c r="A18">
        <v>422120</v>
      </c>
      <c r="B18" s="13">
        <v>5</v>
      </c>
      <c r="C18" s="13">
        <v>15</v>
      </c>
      <c r="D18" t="str">
        <f>_xlfn.XLOOKUP(B18,'Downtime factors'!$A$2:$A$13,'Downtime factors'!$B$2:$B$13,"Not Found")</f>
        <v>Product spill</v>
      </c>
      <c r="E18" t="str">
        <f>_xlfn.XLOOKUP(B18,'Downtime factors'!$A$2:$A$13,'Downtime factors'!$C$2:$C$13,"Not Found")</f>
        <v>Yes</v>
      </c>
      <c r="F18" t="str">
        <f>_xlfn.XLOOKUP(A18,'Line productivity'!$C$2:$C$39,'Line productivity'!$D$2:$D$39,"Not Found")</f>
        <v>Dee</v>
      </c>
    </row>
    <row r="19" spans="1:6" x14ac:dyDescent="0.3">
      <c r="A19">
        <v>422124</v>
      </c>
      <c r="B19" s="13">
        <v>5</v>
      </c>
      <c r="C19" s="13">
        <v>20</v>
      </c>
      <c r="D19" t="str">
        <f>_xlfn.XLOOKUP(B19,'Downtime factors'!$A$2:$A$13,'Downtime factors'!$B$2:$B$13,"Not Found")</f>
        <v>Product spill</v>
      </c>
      <c r="E19" t="str">
        <f>_xlfn.XLOOKUP(B19,'Downtime factors'!$A$2:$A$13,'Downtime factors'!$C$2:$C$13,"Not Found")</f>
        <v>Yes</v>
      </c>
      <c r="F19" t="str">
        <f>_xlfn.XLOOKUP(A19,'Line productivity'!$C$2:$C$39,'Line productivity'!$D$2:$D$39,"Not Found")</f>
        <v>Dennis</v>
      </c>
    </row>
    <row r="20" spans="1:6" x14ac:dyDescent="0.3">
      <c r="A20">
        <v>422128</v>
      </c>
      <c r="B20" s="13">
        <v>5</v>
      </c>
      <c r="C20" s="13">
        <v>22</v>
      </c>
      <c r="D20" t="str">
        <f>_xlfn.XLOOKUP(B20,'Downtime factors'!$A$2:$A$13,'Downtime factors'!$B$2:$B$13,"Not Found")</f>
        <v>Product spill</v>
      </c>
      <c r="E20" t="str">
        <f>_xlfn.XLOOKUP(B20,'Downtime factors'!$A$2:$A$13,'Downtime factors'!$C$2:$C$13,"Not Found")</f>
        <v>Yes</v>
      </c>
      <c r="F20" t="str">
        <f>_xlfn.XLOOKUP(A20,'Line productivity'!$C$2:$C$39,'Line productivity'!$D$2:$D$39,"Not Found")</f>
        <v>Charlie</v>
      </c>
    </row>
    <row r="21" spans="1:6" x14ac:dyDescent="0.3">
      <c r="A21">
        <v>422114</v>
      </c>
      <c r="B21" s="13">
        <v>6</v>
      </c>
      <c r="C21" s="13">
        <v>15</v>
      </c>
      <c r="D21" t="str">
        <f>_xlfn.XLOOKUP(B21,'Downtime factors'!$A$2:$A$13,'Downtime factors'!$B$2:$B$13,"Not Found")</f>
        <v>Machine adjustment</v>
      </c>
      <c r="E21" t="str">
        <f>_xlfn.XLOOKUP(B21,'Downtime factors'!$A$2:$A$13,'Downtime factors'!$C$2:$C$13,"Not Found")</f>
        <v>Yes</v>
      </c>
      <c r="F21" t="str">
        <f>_xlfn.XLOOKUP(A21,'Line productivity'!$C$2:$C$39,'Line productivity'!$D$2:$D$39,"Not Found")</f>
        <v>Mac</v>
      </c>
    </row>
    <row r="22" spans="1:6" x14ac:dyDescent="0.3">
      <c r="A22">
        <v>422117</v>
      </c>
      <c r="B22" s="13">
        <v>6</v>
      </c>
      <c r="C22" s="13">
        <v>5</v>
      </c>
      <c r="D22" t="str">
        <f>_xlfn.XLOOKUP(B22,'Downtime factors'!$A$2:$A$13,'Downtime factors'!$B$2:$B$13,"Not Found")</f>
        <v>Machine adjustment</v>
      </c>
      <c r="E22" t="str">
        <f>_xlfn.XLOOKUP(B22,'Downtime factors'!$A$2:$A$13,'Downtime factors'!$C$2:$C$13,"Not Found")</f>
        <v>Yes</v>
      </c>
      <c r="F22" t="str">
        <f>_xlfn.XLOOKUP(A22,'Line productivity'!$C$2:$C$39,'Line productivity'!$D$2:$D$39,"Not Found")</f>
        <v>Charlie</v>
      </c>
    </row>
    <row r="23" spans="1:6" x14ac:dyDescent="0.3">
      <c r="A23">
        <v>422118</v>
      </c>
      <c r="B23" s="13">
        <v>6</v>
      </c>
      <c r="C23" s="13">
        <v>14</v>
      </c>
      <c r="D23" t="str">
        <f>_xlfn.XLOOKUP(B23,'Downtime factors'!$A$2:$A$13,'Downtime factors'!$B$2:$B$13,"Not Found")</f>
        <v>Machine adjustment</v>
      </c>
      <c r="E23" t="str">
        <f>_xlfn.XLOOKUP(B23,'Downtime factors'!$A$2:$A$13,'Downtime factors'!$C$2:$C$13,"Not Found")</f>
        <v>Yes</v>
      </c>
      <c r="F23" t="str">
        <f>_xlfn.XLOOKUP(A23,'Line productivity'!$C$2:$C$39,'Line productivity'!$D$2:$D$39,"Not Found")</f>
        <v>Dee</v>
      </c>
    </row>
    <row r="24" spans="1:6" x14ac:dyDescent="0.3">
      <c r="A24">
        <v>422124</v>
      </c>
      <c r="B24" s="13">
        <v>6</v>
      </c>
      <c r="C24" s="13">
        <v>20</v>
      </c>
      <c r="D24" t="str">
        <f>_xlfn.XLOOKUP(B24,'Downtime factors'!$A$2:$A$13,'Downtime factors'!$B$2:$B$13,"Not Found")</f>
        <v>Machine adjustment</v>
      </c>
      <c r="E24" t="str">
        <f>_xlfn.XLOOKUP(B24,'Downtime factors'!$A$2:$A$13,'Downtime factors'!$C$2:$C$13,"Not Found")</f>
        <v>Yes</v>
      </c>
      <c r="F24" t="str">
        <f>_xlfn.XLOOKUP(A24,'Line productivity'!$C$2:$C$39,'Line productivity'!$D$2:$D$39,"Not Found")</f>
        <v>Dennis</v>
      </c>
    </row>
    <row r="25" spans="1:6" x14ac:dyDescent="0.3">
      <c r="A25">
        <v>422127</v>
      </c>
      <c r="B25" s="13">
        <v>6</v>
      </c>
      <c r="C25" s="13">
        <v>23</v>
      </c>
      <c r="D25" t="str">
        <f>_xlfn.XLOOKUP(B25,'Downtime factors'!$A$2:$A$13,'Downtime factors'!$B$2:$B$13,"Not Found")</f>
        <v>Machine adjustment</v>
      </c>
      <c r="E25" t="str">
        <f>_xlfn.XLOOKUP(B25,'Downtime factors'!$A$2:$A$13,'Downtime factors'!$C$2:$C$13,"Not Found")</f>
        <v>Yes</v>
      </c>
      <c r="F25" t="str">
        <f>_xlfn.XLOOKUP(A25,'Line productivity'!$C$2:$C$39,'Line productivity'!$D$2:$D$39,"Not Found")</f>
        <v>Charlie</v>
      </c>
    </row>
    <row r="26" spans="1:6" x14ac:dyDescent="0.3">
      <c r="A26">
        <v>422139</v>
      </c>
      <c r="B26" s="13">
        <v>6</v>
      </c>
      <c r="C26" s="13">
        <v>15</v>
      </c>
      <c r="D26" t="str">
        <f>_xlfn.XLOOKUP(B26,'Downtime factors'!$A$2:$A$13,'Downtime factors'!$B$2:$B$13,"Not Found")</f>
        <v>Machine adjustment</v>
      </c>
      <c r="E26" t="str">
        <f>_xlfn.XLOOKUP(B26,'Downtime factors'!$A$2:$A$13,'Downtime factors'!$C$2:$C$13,"Not Found")</f>
        <v>Yes</v>
      </c>
      <c r="F26" t="str">
        <f>_xlfn.XLOOKUP(A26,'Line productivity'!$C$2:$C$39,'Line productivity'!$D$2:$D$39,"Not Found")</f>
        <v>Dee</v>
      </c>
    </row>
    <row r="27" spans="1:6" x14ac:dyDescent="0.3">
      <c r="A27">
        <v>422140</v>
      </c>
      <c r="B27" s="13">
        <v>6</v>
      </c>
      <c r="C27" s="13">
        <v>50</v>
      </c>
      <c r="D27" t="str">
        <f>_xlfn.XLOOKUP(B27,'Downtime factors'!$A$2:$A$13,'Downtime factors'!$B$2:$B$13,"Not Found")</f>
        <v>Machine adjustment</v>
      </c>
      <c r="E27" t="str">
        <f>_xlfn.XLOOKUP(B27,'Downtime factors'!$A$2:$A$13,'Downtime factors'!$C$2:$C$13,"Not Found")</f>
        <v>Yes</v>
      </c>
      <c r="F27" t="str">
        <f>_xlfn.XLOOKUP(A27,'Line productivity'!$C$2:$C$39,'Line productivity'!$D$2:$D$39,"Not Found")</f>
        <v>Dee</v>
      </c>
    </row>
    <row r="28" spans="1:6" x14ac:dyDescent="0.3">
      <c r="A28">
        <v>422142</v>
      </c>
      <c r="B28" s="13">
        <v>6</v>
      </c>
      <c r="C28" s="13">
        <v>30</v>
      </c>
      <c r="D28" t="str">
        <f>_xlfn.XLOOKUP(B28,'Downtime factors'!$A$2:$A$13,'Downtime factors'!$B$2:$B$13,"Not Found")</f>
        <v>Machine adjustment</v>
      </c>
      <c r="E28" t="str">
        <f>_xlfn.XLOOKUP(B28,'Downtime factors'!$A$2:$A$13,'Downtime factors'!$C$2:$C$13,"Not Found")</f>
        <v>Yes</v>
      </c>
      <c r="F28" t="str">
        <f>_xlfn.XLOOKUP(A28,'Line productivity'!$C$2:$C$39,'Line productivity'!$D$2:$D$39,"Not Found")</f>
        <v>Dennis</v>
      </c>
    </row>
    <row r="29" spans="1:6" x14ac:dyDescent="0.3">
      <c r="A29">
        <v>422143</v>
      </c>
      <c r="B29" s="13">
        <v>6</v>
      </c>
      <c r="C29" s="13">
        <v>40</v>
      </c>
      <c r="D29" t="str">
        <f>_xlfn.XLOOKUP(B29,'Downtime factors'!$A$2:$A$13,'Downtime factors'!$B$2:$B$13,"Not Found")</f>
        <v>Machine adjustment</v>
      </c>
      <c r="E29" t="str">
        <f>_xlfn.XLOOKUP(B29,'Downtime factors'!$A$2:$A$13,'Downtime factors'!$C$2:$C$13,"Not Found")</f>
        <v>Yes</v>
      </c>
      <c r="F29" t="str">
        <f>_xlfn.XLOOKUP(A29,'Line productivity'!$C$2:$C$39,'Line productivity'!$D$2:$D$39,"Not Found")</f>
        <v>Dennis</v>
      </c>
    </row>
    <row r="30" spans="1:6" x14ac:dyDescent="0.3">
      <c r="A30">
        <v>422144</v>
      </c>
      <c r="B30" s="13">
        <v>6</v>
      </c>
      <c r="C30" s="13">
        <v>30</v>
      </c>
      <c r="D30" t="str">
        <f>_xlfn.XLOOKUP(B30,'Downtime factors'!$A$2:$A$13,'Downtime factors'!$B$2:$B$13,"Not Found")</f>
        <v>Machine adjustment</v>
      </c>
      <c r="E30" t="str">
        <f>_xlfn.XLOOKUP(B30,'Downtime factors'!$A$2:$A$13,'Downtime factors'!$C$2:$C$13,"Not Found")</f>
        <v>Yes</v>
      </c>
      <c r="F30" t="str">
        <f>_xlfn.XLOOKUP(A30,'Line productivity'!$C$2:$C$39,'Line productivity'!$D$2:$D$39,"Not Found")</f>
        <v>Dennis</v>
      </c>
    </row>
    <row r="31" spans="1:6" x14ac:dyDescent="0.3">
      <c r="A31">
        <v>422146</v>
      </c>
      <c r="B31" s="13">
        <v>6</v>
      </c>
      <c r="C31" s="13">
        <v>30</v>
      </c>
      <c r="D31" t="str">
        <f>_xlfn.XLOOKUP(B31,'Downtime factors'!$A$2:$A$13,'Downtime factors'!$B$2:$B$13,"Not Found")</f>
        <v>Machine adjustment</v>
      </c>
      <c r="E31" t="str">
        <f>_xlfn.XLOOKUP(B31,'Downtime factors'!$A$2:$A$13,'Downtime factors'!$C$2:$C$13,"Not Found")</f>
        <v>Yes</v>
      </c>
      <c r="F31" t="str">
        <f>_xlfn.XLOOKUP(A31,'Line productivity'!$C$2:$C$39,'Line productivity'!$D$2:$D$39,"Not Found")</f>
        <v>Charlie</v>
      </c>
    </row>
    <row r="32" spans="1:6" x14ac:dyDescent="0.3">
      <c r="A32">
        <v>422147</v>
      </c>
      <c r="B32" s="13">
        <v>6</v>
      </c>
      <c r="C32" s="13">
        <v>60</v>
      </c>
      <c r="D32" t="str">
        <f>_xlfn.XLOOKUP(B32,'Downtime factors'!$A$2:$A$13,'Downtime factors'!$B$2:$B$13,"Not Found")</f>
        <v>Machine adjustment</v>
      </c>
      <c r="E32" t="str">
        <f>_xlfn.XLOOKUP(B32,'Downtime factors'!$A$2:$A$13,'Downtime factors'!$C$2:$C$13,"Not Found")</f>
        <v>Yes</v>
      </c>
      <c r="F32" t="str">
        <f>_xlfn.XLOOKUP(A32,'Line productivity'!$C$2:$C$39,'Line productivity'!$D$2:$D$39,"Not Found")</f>
        <v>Charlie</v>
      </c>
    </row>
    <row r="33" spans="1:6" x14ac:dyDescent="0.3">
      <c r="A33">
        <v>422111</v>
      </c>
      <c r="B33" s="13">
        <v>7</v>
      </c>
      <c r="C33" s="13">
        <v>15</v>
      </c>
      <c r="D33" t="str">
        <f>_xlfn.XLOOKUP(B33,'Downtime factors'!$A$2:$A$13,'Downtime factors'!$B$2:$B$13,"Not Found")</f>
        <v>Machine failure</v>
      </c>
      <c r="E33" t="str">
        <f>_xlfn.XLOOKUP(B33,'Downtime factors'!$A$2:$A$13,'Downtime factors'!$C$2:$C$13,"Not Found")</f>
        <v>No</v>
      </c>
      <c r="F33" t="str">
        <f>_xlfn.XLOOKUP(A33,'Line productivity'!$C$2:$C$39,'Line productivity'!$D$2:$D$39,"Not Found")</f>
        <v>Mac</v>
      </c>
    </row>
    <row r="34" spans="1:6" x14ac:dyDescent="0.3">
      <c r="A34">
        <v>422118</v>
      </c>
      <c r="B34" s="13">
        <v>7</v>
      </c>
      <c r="C34" s="13">
        <v>16</v>
      </c>
      <c r="D34" t="str">
        <f>_xlfn.XLOOKUP(B34,'Downtime factors'!$A$2:$A$13,'Downtime factors'!$B$2:$B$13,"Not Found")</f>
        <v>Machine failure</v>
      </c>
      <c r="E34" t="str">
        <f>_xlfn.XLOOKUP(B34,'Downtime factors'!$A$2:$A$13,'Downtime factors'!$C$2:$C$13,"Not Found")</f>
        <v>No</v>
      </c>
      <c r="F34" t="str">
        <f>_xlfn.XLOOKUP(A34,'Line productivity'!$C$2:$C$39,'Line productivity'!$D$2:$D$39,"Not Found")</f>
        <v>Dee</v>
      </c>
    </row>
    <row r="35" spans="1:6" x14ac:dyDescent="0.3">
      <c r="A35">
        <v>422121</v>
      </c>
      <c r="B35" s="13">
        <v>7</v>
      </c>
      <c r="C35" s="13">
        <v>15</v>
      </c>
      <c r="D35" t="str">
        <f>_xlfn.XLOOKUP(B35,'Downtime factors'!$A$2:$A$13,'Downtime factors'!$B$2:$B$13,"Not Found")</f>
        <v>Machine failure</v>
      </c>
      <c r="E35" t="str">
        <f>_xlfn.XLOOKUP(B35,'Downtime factors'!$A$2:$A$13,'Downtime factors'!$C$2:$C$13,"Not Found")</f>
        <v>No</v>
      </c>
      <c r="F35" t="str">
        <f>_xlfn.XLOOKUP(A35,'Line productivity'!$C$2:$C$39,'Line productivity'!$D$2:$D$39,"Not Found")</f>
        <v>Dennis</v>
      </c>
    </row>
    <row r="36" spans="1:6" x14ac:dyDescent="0.3">
      <c r="A36">
        <v>422122</v>
      </c>
      <c r="B36" s="13">
        <v>7</v>
      </c>
      <c r="C36" s="13">
        <v>25</v>
      </c>
      <c r="D36" t="str">
        <f>_xlfn.XLOOKUP(B36,'Downtime factors'!$A$2:$A$13,'Downtime factors'!$B$2:$B$13,"Not Found")</f>
        <v>Machine failure</v>
      </c>
      <c r="E36" t="str">
        <f>_xlfn.XLOOKUP(B36,'Downtime factors'!$A$2:$A$13,'Downtime factors'!$C$2:$C$13,"Not Found")</f>
        <v>No</v>
      </c>
      <c r="F36" t="str">
        <f>_xlfn.XLOOKUP(A36,'Line productivity'!$C$2:$C$39,'Line productivity'!$D$2:$D$39,"Not Found")</f>
        <v>Dennis</v>
      </c>
    </row>
    <row r="37" spans="1:6" x14ac:dyDescent="0.3">
      <c r="A37">
        <v>422123</v>
      </c>
      <c r="B37" s="13">
        <v>7</v>
      </c>
      <c r="C37" s="13">
        <v>30</v>
      </c>
      <c r="D37" t="str">
        <f>_xlfn.XLOOKUP(B37,'Downtime factors'!$A$2:$A$13,'Downtime factors'!$B$2:$B$13,"Not Found")</f>
        <v>Machine failure</v>
      </c>
      <c r="E37" t="str">
        <f>_xlfn.XLOOKUP(B37,'Downtime factors'!$A$2:$A$13,'Downtime factors'!$C$2:$C$13,"Not Found")</f>
        <v>No</v>
      </c>
      <c r="F37" t="str">
        <f>_xlfn.XLOOKUP(A37,'Line productivity'!$C$2:$C$39,'Line productivity'!$D$2:$D$39,"Not Found")</f>
        <v>Dennis</v>
      </c>
    </row>
    <row r="38" spans="1:6" x14ac:dyDescent="0.3">
      <c r="A38">
        <v>422128</v>
      </c>
      <c r="B38" s="13">
        <v>7</v>
      </c>
      <c r="C38" s="13">
        <v>30</v>
      </c>
      <c r="D38" t="str">
        <f>_xlfn.XLOOKUP(B38,'Downtime factors'!$A$2:$A$13,'Downtime factors'!$B$2:$B$13,"Not Found")</f>
        <v>Machine failure</v>
      </c>
      <c r="E38" t="str">
        <f>_xlfn.XLOOKUP(B38,'Downtime factors'!$A$2:$A$13,'Downtime factors'!$C$2:$C$13,"Not Found")</f>
        <v>No</v>
      </c>
      <c r="F38" t="str">
        <f>_xlfn.XLOOKUP(A38,'Line productivity'!$C$2:$C$39,'Line productivity'!$D$2:$D$39,"Not Found")</f>
        <v>Charlie</v>
      </c>
    </row>
    <row r="39" spans="1:6" x14ac:dyDescent="0.3">
      <c r="A39">
        <v>422133</v>
      </c>
      <c r="B39" s="13">
        <v>7</v>
      </c>
      <c r="C39" s="13">
        <v>20</v>
      </c>
      <c r="D39" t="str">
        <f>_xlfn.XLOOKUP(B39,'Downtime factors'!$A$2:$A$13,'Downtime factors'!$B$2:$B$13,"Not Found")</f>
        <v>Machine failure</v>
      </c>
      <c r="E39" t="str">
        <f>_xlfn.XLOOKUP(B39,'Downtime factors'!$A$2:$A$13,'Downtime factors'!$C$2:$C$13,"Not Found")</f>
        <v>No</v>
      </c>
      <c r="F39" t="str">
        <f>_xlfn.XLOOKUP(A39,'Line productivity'!$C$2:$C$39,'Line productivity'!$D$2:$D$39,"Not Found")</f>
        <v>Dee</v>
      </c>
    </row>
    <row r="40" spans="1:6" x14ac:dyDescent="0.3">
      <c r="A40">
        <v>422134</v>
      </c>
      <c r="B40" s="13">
        <v>7</v>
      </c>
      <c r="C40" s="13">
        <v>30</v>
      </c>
      <c r="D40" t="str">
        <f>_xlfn.XLOOKUP(B40,'Downtime factors'!$A$2:$A$13,'Downtime factors'!$B$2:$B$13,"Not Found")</f>
        <v>Machine failure</v>
      </c>
      <c r="E40" t="str">
        <f>_xlfn.XLOOKUP(B40,'Downtime factors'!$A$2:$A$13,'Downtime factors'!$C$2:$C$13,"Not Found")</f>
        <v>No</v>
      </c>
      <c r="F40" t="str">
        <f>_xlfn.XLOOKUP(A40,'Line productivity'!$C$2:$C$39,'Line productivity'!$D$2:$D$39,"Not Found")</f>
        <v>Mac</v>
      </c>
    </row>
    <row r="41" spans="1:6" x14ac:dyDescent="0.3">
      <c r="A41">
        <v>422143</v>
      </c>
      <c r="B41" s="13">
        <v>7</v>
      </c>
      <c r="C41" s="13">
        <v>18</v>
      </c>
      <c r="D41" t="str">
        <f>_xlfn.XLOOKUP(B41,'Downtime factors'!$A$2:$A$13,'Downtime factors'!$B$2:$B$13,"Not Found")</f>
        <v>Machine failure</v>
      </c>
      <c r="E41" t="str">
        <f>_xlfn.XLOOKUP(B41,'Downtime factors'!$A$2:$A$13,'Downtime factors'!$C$2:$C$13,"Not Found")</f>
        <v>No</v>
      </c>
      <c r="F41" t="str">
        <f>_xlfn.XLOOKUP(A41,'Line productivity'!$C$2:$C$39,'Line productivity'!$D$2:$D$39,"Not Found")</f>
        <v>Dennis</v>
      </c>
    </row>
    <row r="42" spans="1:6" x14ac:dyDescent="0.3">
      <c r="A42">
        <v>422146</v>
      </c>
      <c r="B42" s="13">
        <v>7</v>
      </c>
      <c r="C42" s="13">
        <v>25</v>
      </c>
      <c r="D42" t="str">
        <f>_xlfn.XLOOKUP(B42,'Downtime factors'!$A$2:$A$13,'Downtime factors'!$B$2:$B$13,"Not Found")</f>
        <v>Machine failure</v>
      </c>
      <c r="E42" t="str">
        <f>_xlfn.XLOOKUP(B42,'Downtime factors'!$A$2:$A$13,'Downtime factors'!$C$2:$C$13,"Not Found")</f>
        <v>No</v>
      </c>
      <c r="F42" t="str">
        <f>_xlfn.XLOOKUP(A42,'Line productivity'!$C$2:$C$39,'Line productivity'!$D$2:$D$39,"Not Found")</f>
        <v>Charlie</v>
      </c>
    </row>
    <row r="43" spans="1:6" x14ac:dyDescent="0.3">
      <c r="A43">
        <v>422147</v>
      </c>
      <c r="B43" s="13">
        <v>7</v>
      </c>
      <c r="C43" s="13">
        <v>30</v>
      </c>
      <c r="D43" t="str">
        <f>_xlfn.XLOOKUP(B43,'Downtime factors'!$A$2:$A$13,'Downtime factors'!$B$2:$B$13,"Not Found")</f>
        <v>Machine failure</v>
      </c>
      <c r="E43" t="str">
        <f>_xlfn.XLOOKUP(B43,'Downtime factors'!$A$2:$A$13,'Downtime factors'!$C$2:$C$13,"Not Found")</f>
        <v>No</v>
      </c>
      <c r="F43" t="str">
        <f>_xlfn.XLOOKUP(A43,'Line productivity'!$C$2:$C$39,'Line productivity'!$D$2:$D$39,"Not Found")</f>
        <v>Charlie</v>
      </c>
    </row>
    <row r="44" spans="1:6" x14ac:dyDescent="0.3">
      <c r="A44">
        <v>422112</v>
      </c>
      <c r="B44" s="13">
        <v>8</v>
      </c>
      <c r="C44" s="13">
        <v>20</v>
      </c>
      <c r="D44" t="str">
        <f>_xlfn.XLOOKUP(B44,'Downtime factors'!$A$2:$A$13,'Downtime factors'!$B$2:$B$13,"Not Found")</f>
        <v>Batch coding error</v>
      </c>
      <c r="E44" t="str">
        <f>_xlfn.XLOOKUP(B44,'Downtime factors'!$A$2:$A$13,'Downtime factors'!$C$2:$C$13,"Not Found")</f>
        <v>Yes</v>
      </c>
      <c r="F44" t="str">
        <f>_xlfn.XLOOKUP(A44,'Line productivity'!$C$2:$C$39,'Line productivity'!$D$2:$D$39,"Not Found")</f>
        <v>Mac</v>
      </c>
    </row>
    <row r="45" spans="1:6" x14ac:dyDescent="0.3">
      <c r="A45">
        <v>422126</v>
      </c>
      <c r="B45" s="13">
        <v>8</v>
      </c>
      <c r="C45" s="13">
        <v>44</v>
      </c>
      <c r="D45" t="str">
        <f>_xlfn.XLOOKUP(B45,'Downtime factors'!$A$2:$A$13,'Downtime factors'!$B$2:$B$13,"Not Found")</f>
        <v>Batch coding error</v>
      </c>
      <c r="E45" t="str">
        <f>_xlfn.XLOOKUP(B45,'Downtime factors'!$A$2:$A$13,'Downtime factors'!$C$2:$C$13,"Not Found")</f>
        <v>Yes</v>
      </c>
      <c r="F45" t="str">
        <f>_xlfn.XLOOKUP(A45,'Line productivity'!$C$2:$C$39,'Line productivity'!$D$2:$D$39,"Not Found")</f>
        <v>Charlie</v>
      </c>
    </row>
    <row r="46" spans="1:6" x14ac:dyDescent="0.3">
      <c r="A46">
        <v>422134</v>
      </c>
      <c r="B46" s="13">
        <v>8</v>
      </c>
      <c r="C46" s="13">
        <v>20</v>
      </c>
      <c r="D46" t="str">
        <f>_xlfn.XLOOKUP(B46,'Downtime factors'!$A$2:$A$13,'Downtime factors'!$B$2:$B$13,"Not Found")</f>
        <v>Batch coding error</v>
      </c>
      <c r="E46" t="str">
        <f>_xlfn.XLOOKUP(B46,'Downtime factors'!$A$2:$A$13,'Downtime factors'!$C$2:$C$13,"Not Found")</f>
        <v>Yes</v>
      </c>
      <c r="F46" t="str">
        <f>_xlfn.XLOOKUP(A46,'Line productivity'!$C$2:$C$39,'Line productivity'!$D$2:$D$39,"Not Found")</f>
        <v>Mac</v>
      </c>
    </row>
    <row r="47" spans="1:6" x14ac:dyDescent="0.3">
      <c r="A47">
        <v>422137</v>
      </c>
      <c r="B47" s="13">
        <v>8</v>
      </c>
      <c r="C47" s="13">
        <v>30</v>
      </c>
      <c r="D47" t="str">
        <f>_xlfn.XLOOKUP(B47,'Downtime factors'!$A$2:$A$13,'Downtime factors'!$B$2:$B$13,"Not Found")</f>
        <v>Batch coding error</v>
      </c>
      <c r="E47" t="str">
        <f>_xlfn.XLOOKUP(B47,'Downtime factors'!$A$2:$A$13,'Downtime factors'!$C$2:$C$13,"Not Found")</f>
        <v>Yes</v>
      </c>
      <c r="F47" t="str">
        <f>_xlfn.XLOOKUP(A47,'Line productivity'!$C$2:$C$39,'Line productivity'!$D$2:$D$39,"Not Found")</f>
        <v>Dee</v>
      </c>
    </row>
    <row r="48" spans="1:6" x14ac:dyDescent="0.3">
      <c r="A48">
        <v>422144</v>
      </c>
      <c r="B48" s="13">
        <v>8</v>
      </c>
      <c r="C48" s="13">
        <v>24</v>
      </c>
      <c r="D48" t="str">
        <f>_xlfn.XLOOKUP(B48,'Downtime factors'!$A$2:$A$13,'Downtime factors'!$B$2:$B$13,"Not Found")</f>
        <v>Batch coding error</v>
      </c>
      <c r="E48" t="str">
        <f>_xlfn.XLOOKUP(B48,'Downtime factors'!$A$2:$A$13,'Downtime factors'!$C$2:$C$13,"Not Found")</f>
        <v>Yes</v>
      </c>
      <c r="F48" t="str">
        <f>_xlfn.XLOOKUP(A48,'Line productivity'!$C$2:$C$39,'Line productivity'!$D$2:$D$39,"Not Found")</f>
        <v>Dennis</v>
      </c>
    </row>
    <row r="49" spans="1:6" x14ac:dyDescent="0.3">
      <c r="A49">
        <v>422148</v>
      </c>
      <c r="B49" s="13">
        <v>8</v>
      </c>
      <c r="C49" s="13">
        <v>7</v>
      </c>
      <c r="D49" t="str">
        <f>_xlfn.XLOOKUP(B49,'Downtime factors'!$A$2:$A$13,'Downtime factors'!$B$2:$B$13,"Not Found")</f>
        <v>Batch coding error</v>
      </c>
      <c r="E49" t="str">
        <f>_xlfn.XLOOKUP(B49,'Downtime factors'!$A$2:$A$13,'Downtime factors'!$C$2:$C$13,"Not Found")</f>
        <v>Yes</v>
      </c>
      <c r="F49" t="str">
        <f>_xlfn.XLOOKUP(A49,'Line productivity'!$C$2:$C$39,'Line productivity'!$D$2:$D$39,"Not Found")</f>
        <v>Mac</v>
      </c>
    </row>
    <row r="50" spans="1:6" x14ac:dyDescent="0.3">
      <c r="A50">
        <v>422120</v>
      </c>
      <c r="B50" s="13">
        <v>9</v>
      </c>
      <c r="C50" s="13">
        <v>17</v>
      </c>
      <c r="D50" t="str">
        <f>_xlfn.XLOOKUP(B50,'Downtime factors'!$A$2:$A$13,'Downtime factors'!$B$2:$B$13,"Not Found")</f>
        <v>Conveyor belt jam</v>
      </c>
      <c r="E50" t="str">
        <f>_xlfn.XLOOKUP(B50,'Downtime factors'!$A$2:$A$13,'Downtime factors'!$C$2:$C$13,"Not Found")</f>
        <v>No</v>
      </c>
      <c r="F50" t="str">
        <f>_xlfn.XLOOKUP(A50,'Line productivity'!$C$2:$C$39,'Line productivity'!$D$2:$D$39,"Not Found")</f>
        <v>Dee</v>
      </c>
    </row>
    <row r="51" spans="1:6" x14ac:dyDescent="0.3">
      <c r="A51">
        <v>422115</v>
      </c>
      <c r="B51" s="13">
        <v>10</v>
      </c>
      <c r="C51" s="13">
        <v>24</v>
      </c>
      <c r="D51" t="str">
        <f>_xlfn.XLOOKUP(B51,'Downtime factors'!$A$2:$A$13,'Downtime factors'!$B$2:$B$13,"Not Found")</f>
        <v>Calibration error</v>
      </c>
      <c r="E51" t="str">
        <f>_xlfn.XLOOKUP(B51,'Downtime factors'!$A$2:$A$13,'Downtime factors'!$C$2:$C$13,"Not Found")</f>
        <v>Yes</v>
      </c>
      <c r="F51" t="str">
        <f>_xlfn.XLOOKUP(A51,'Line productivity'!$C$2:$C$39,'Line productivity'!$D$2:$D$39,"Not Found")</f>
        <v>Charlie</v>
      </c>
    </row>
    <row r="52" spans="1:6" x14ac:dyDescent="0.3">
      <c r="A52">
        <v>422131</v>
      </c>
      <c r="B52" s="13">
        <v>10</v>
      </c>
      <c r="C52" s="13">
        <v>10</v>
      </c>
      <c r="D52" t="str">
        <f>_xlfn.XLOOKUP(B52,'Downtime factors'!$A$2:$A$13,'Downtime factors'!$B$2:$B$13,"Not Found")</f>
        <v>Calibration error</v>
      </c>
      <c r="E52" t="str">
        <f>_xlfn.XLOOKUP(B52,'Downtime factors'!$A$2:$A$13,'Downtime factors'!$C$2:$C$13,"Not Found")</f>
        <v>Yes</v>
      </c>
      <c r="F52" t="str">
        <f>_xlfn.XLOOKUP(A52,'Line productivity'!$C$2:$C$39,'Line productivity'!$D$2:$D$39,"Not Found")</f>
        <v>Dee</v>
      </c>
    </row>
    <row r="53" spans="1:6" x14ac:dyDescent="0.3">
      <c r="A53">
        <v>422137</v>
      </c>
      <c r="B53" s="13">
        <v>10</v>
      </c>
      <c r="C53" s="13">
        <v>15</v>
      </c>
      <c r="D53" t="str">
        <f>_xlfn.XLOOKUP(B53,'Downtime factors'!$A$2:$A$13,'Downtime factors'!$B$2:$B$13,"Not Found")</f>
        <v>Calibration error</v>
      </c>
      <c r="E53" t="str">
        <f>_xlfn.XLOOKUP(B53,'Downtime factors'!$A$2:$A$13,'Downtime factors'!$C$2:$C$13,"Not Found")</f>
        <v>Yes</v>
      </c>
      <c r="F53" t="str">
        <f>_xlfn.XLOOKUP(A53,'Line productivity'!$C$2:$C$39,'Line productivity'!$D$2:$D$39,"Not Found")</f>
        <v>Dee</v>
      </c>
    </row>
    <row r="54" spans="1:6" x14ac:dyDescent="0.3">
      <c r="A54">
        <v>422118</v>
      </c>
      <c r="B54" s="13">
        <v>11</v>
      </c>
      <c r="C54" s="13">
        <v>10</v>
      </c>
      <c r="D54" t="str">
        <f>_xlfn.XLOOKUP(B54,'Downtime factors'!$A$2:$A$13,'Downtime factors'!$B$2:$B$13,"Not Found")</f>
        <v>Label switch</v>
      </c>
      <c r="E54" t="str">
        <f>_xlfn.XLOOKUP(B54,'Downtime factors'!$A$2:$A$13,'Downtime factors'!$C$2:$C$13,"Not Found")</f>
        <v>Yes</v>
      </c>
      <c r="F54" t="str">
        <f>_xlfn.XLOOKUP(A54,'Line productivity'!$C$2:$C$39,'Line productivity'!$D$2:$D$39,"Not Found")</f>
        <v>Dee</v>
      </c>
    </row>
    <row r="55" spans="1:6" x14ac:dyDescent="0.3">
      <c r="A55">
        <v>422125</v>
      </c>
      <c r="B55" s="13">
        <v>11</v>
      </c>
      <c r="C55" s="13">
        <v>10</v>
      </c>
      <c r="D55" t="str">
        <f>_xlfn.XLOOKUP(B55,'Downtime factors'!$A$2:$A$13,'Downtime factors'!$B$2:$B$13,"Not Found")</f>
        <v>Label switch</v>
      </c>
      <c r="E55" t="str">
        <f>_xlfn.XLOOKUP(B55,'Downtime factors'!$A$2:$A$13,'Downtime factors'!$C$2:$C$13,"Not Found")</f>
        <v>Yes</v>
      </c>
      <c r="F55" t="str">
        <f>_xlfn.XLOOKUP(A55,'Line productivity'!$C$2:$C$39,'Line productivity'!$D$2:$D$39,"Not Found")</f>
        <v>Charlie</v>
      </c>
    </row>
    <row r="56" spans="1:6" x14ac:dyDescent="0.3">
      <c r="A56">
        <v>422140</v>
      </c>
      <c r="B56" s="13">
        <v>11</v>
      </c>
      <c r="C56" s="13">
        <v>13</v>
      </c>
      <c r="D56" t="str">
        <f>_xlfn.XLOOKUP(B56,'Downtime factors'!$A$2:$A$13,'Downtime factors'!$B$2:$B$13,"Not Found")</f>
        <v>Label switch</v>
      </c>
      <c r="E56" t="str">
        <f>_xlfn.XLOOKUP(B56,'Downtime factors'!$A$2:$A$13,'Downtime factors'!$C$2:$C$13,"Not Found")</f>
        <v>Yes</v>
      </c>
      <c r="F56" t="str">
        <f>_xlfn.XLOOKUP(A56,'Line productivity'!$C$2:$C$39,'Line productivity'!$D$2:$D$39,"Not Found")</f>
        <v>Dee</v>
      </c>
    </row>
    <row r="57" spans="1:6" x14ac:dyDescent="0.3">
      <c r="A57">
        <v>422118</v>
      </c>
      <c r="B57" s="13">
        <v>12</v>
      </c>
      <c r="C57" s="13">
        <v>20</v>
      </c>
      <c r="D57" t="str">
        <f>_xlfn.XLOOKUP(B57,'Downtime factors'!$A$2:$A$13,'Downtime factors'!$B$2:$B$13,"Not Found")</f>
        <v>Other</v>
      </c>
      <c r="E57" t="str">
        <f>_xlfn.XLOOKUP(B57,'Downtime factors'!$A$2:$A$13,'Downtime factors'!$C$2:$C$13,"Not Found")</f>
        <v>No</v>
      </c>
      <c r="F57" t="str">
        <f>_xlfn.XLOOKUP(A57,'Line productivity'!$C$2:$C$39,'Line productivity'!$D$2:$D$39,"Not Found")</f>
        <v>Dee</v>
      </c>
    </row>
    <row r="58" spans="1:6" x14ac:dyDescent="0.3">
      <c r="A58">
        <v>422125</v>
      </c>
      <c r="B58" s="13">
        <v>12</v>
      </c>
      <c r="C58" s="13">
        <v>10</v>
      </c>
      <c r="D58" t="str">
        <f>_xlfn.XLOOKUP(B58,'Downtime factors'!$A$2:$A$13,'Downtime factors'!$B$2:$B$13,"Not Found")</f>
        <v>Other</v>
      </c>
      <c r="E58" t="str">
        <f>_xlfn.XLOOKUP(B58,'Downtime factors'!$A$2:$A$13,'Downtime factors'!$C$2:$C$13,"Not Found")</f>
        <v>No</v>
      </c>
      <c r="F58" t="str">
        <f>_xlfn.XLOOKUP(A58,'Line productivity'!$C$2:$C$39,'Line productivity'!$D$2:$D$39,"Not Found")</f>
        <v>Charlie</v>
      </c>
    </row>
    <row r="59" spans="1:6" x14ac:dyDescent="0.3">
      <c r="A59">
        <v>422129</v>
      </c>
      <c r="B59" s="13">
        <v>12</v>
      </c>
      <c r="C59" s="13">
        <v>15</v>
      </c>
      <c r="D59" t="str">
        <f>_xlfn.XLOOKUP(B59,'Downtime factors'!$A$2:$A$13,'Downtime factors'!$B$2:$B$13,"Not Found")</f>
        <v>Other</v>
      </c>
      <c r="E59" t="str">
        <f>_xlfn.XLOOKUP(B59,'Downtime factors'!$A$2:$A$13,'Downtime factors'!$C$2:$C$13,"Not Found")</f>
        <v>No</v>
      </c>
      <c r="F59" t="str">
        <f>_xlfn.XLOOKUP(A59,'Line productivity'!$C$2:$C$39,'Line productivity'!$D$2:$D$39,"Not Found")</f>
        <v>Charlie</v>
      </c>
    </row>
    <row r="60" spans="1:6" x14ac:dyDescent="0.3">
      <c r="A60">
        <v>422135</v>
      </c>
      <c r="B60" s="13">
        <v>12</v>
      </c>
      <c r="C60" s="13">
        <v>15</v>
      </c>
      <c r="D60" t="str">
        <f>_xlfn.XLOOKUP(B60,'Downtime factors'!$A$2:$A$13,'Downtime factors'!$B$2:$B$13,"Not Found")</f>
        <v>Other</v>
      </c>
      <c r="E60" t="str">
        <f>_xlfn.XLOOKUP(B60,'Downtime factors'!$A$2:$A$13,'Downtime factors'!$C$2:$C$13,"Not Found")</f>
        <v>No</v>
      </c>
      <c r="F60" t="str">
        <f>_xlfn.XLOOKUP(A60,'Line productivity'!$C$2:$C$39,'Line productivity'!$D$2:$D$39,"Not Found")</f>
        <v>Mac</v>
      </c>
    </row>
    <row r="61" spans="1:6" x14ac:dyDescent="0.3">
      <c r="A61">
        <v>422141</v>
      </c>
      <c r="B61" s="13">
        <v>12</v>
      </c>
      <c r="C61" s="13">
        <v>7</v>
      </c>
      <c r="D61" t="str">
        <f>_xlfn.XLOOKUP(B61,'Downtime factors'!$A$2:$A$13,'Downtime factors'!$B$2:$B$13,"Not Found")</f>
        <v>Other</v>
      </c>
      <c r="E61" t="str">
        <f>_xlfn.XLOOKUP(B61,'Downtime factors'!$A$2:$A$13,'Downtime factors'!$C$2:$C$13,"Not Found")</f>
        <v>No</v>
      </c>
      <c r="F61" t="str">
        <f>_xlfn.XLOOKUP(A61,'Line productivity'!$C$2:$C$39,'Line productivity'!$D$2:$D$39,"Not Found")</f>
        <v>Dennis</v>
      </c>
    </row>
    <row r="62" spans="1:6" x14ac:dyDescent="0.3">
      <c r="A62">
        <v>422146</v>
      </c>
      <c r="B62" s="13">
        <v>12</v>
      </c>
      <c r="C62" s="13">
        <v>7</v>
      </c>
      <c r="D62" t="str">
        <f>_xlfn.XLOOKUP(B62,'Downtime factors'!$A$2:$A$13,'Downtime factors'!$B$2:$B$13,"Not Found")</f>
        <v>Other</v>
      </c>
      <c r="E62" t="str">
        <f>_xlfn.XLOOKUP(B62,'Downtime factors'!$A$2:$A$13,'Downtime factors'!$C$2:$C$13,"Not Found")</f>
        <v>No</v>
      </c>
      <c r="F62" t="str">
        <f>_xlfn.XLOOKUP(A62,'Line productivity'!$C$2:$C$39,'Line productivity'!$D$2:$D$39,"Not Found")</f>
        <v>Charlie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74E5-3210-4889-B4F4-1C4250A625A8}">
  <sheetPr>
    <tabColor theme="5" tint="0.59999389629810485"/>
  </sheetPr>
  <dimension ref="A1:M43"/>
  <sheetViews>
    <sheetView workbookViewId="0">
      <selection activeCell="D1" sqref="D1"/>
    </sheetView>
  </sheetViews>
  <sheetFormatPr defaultRowHeight="14.4" x14ac:dyDescent="0.3"/>
  <cols>
    <col min="1" max="1" width="7.44140625" customWidth="1"/>
    <col min="2" max="2" width="10.5546875" customWidth="1"/>
    <col min="5" max="5" width="11.88671875" bestFit="1" customWidth="1"/>
    <col min="6" max="6" width="13.33203125" customWidth="1"/>
    <col min="7" max="7" width="13.88671875" customWidth="1"/>
    <col min="8" max="8" width="15.6640625" customWidth="1"/>
    <col min="9" max="9" width="13.6640625" customWidth="1"/>
    <col min="10" max="10" width="25.6640625" customWidth="1"/>
    <col min="11" max="11" width="20.5546875" customWidth="1"/>
    <col min="12" max="12" width="10.6640625" customWidth="1"/>
    <col min="13" max="13" width="11.6640625" customWidth="1"/>
  </cols>
  <sheetData>
    <row r="1" spans="1:13" x14ac:dyDescent="0.3">
      <c r="A1" t="s">
        <v>33</v>
      </c>
      <c r="B1" t="s">
        <v>31</v>
      </c>
      <c r="C1" t="s">
        <v>32</v>
      </c>
      <c r="D1" t="s">
        <v>34</v>
      </c>
      <c r="E1" t="s">
        <v>35</v>
      </c>
      <c r="F1" t="s">
        <v>36</v>
      </c>
      <c r="G1" t="s">
        <v>116</v>
      </c>
      <c r="H1" t="s">
        <v>117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</row>
    <row r="2" spans="1:13" x14ac:dyDescent="0.3">
      <c r="A2">
        <f>'Line productivity'!C2</f>
        <v>422111</v>
      </c>
      <c r="B2" s="15">
        <f>'Line productivity'!A2</f>
        <v>45533</v>
      </c>
      <c r="C2" t="str">
        <f>'Line productivity'!B2</f>
        <v>OR-600</v>
      </c>
      <c r="D2" t="str">
        <f>'Line productivity'!D2</f>
        <v>Mac</v>
      </c>
      <c r="E2" s="16">
        <f>'Line productivity'!E2</f>
        <v>0.49305555555555558</v>
      </c>
      <c r="F2" s="16">
        <f>'Line productivity'!F2</f>
        <v>0.58680555555555558</v>
      </c>
      <c r="G2">
        <f>_xlfn.XLOOKUP(C2,Products!$A$2:$A$7,Products!$D$2:$D$7,"Not Found")</f>
        <v>60</v>
      </c>
      <c r="H2" s="13">
        <f>(F2-E2)*1440</f>
        <v>135</v>
      </c>
      <c r="I2" s="13">
        <f>H2-G2</f>
        <v>75</v>
      </c>
      <c r="J2">
        <f>SUMIF('Fact Downtime'!$A:$A,A2,'Fact Downtime'!$C:$C)</f>
        <v>75</v>
      </c>
      <c r="K2" s="13">
        <f>I2-J2</f>
        <v>0</v>
      </c>
      <c r="L2" s="17">
        <f>G2/H2</f>
        <v>0.44444444444444442</v>
      </c>
      <c r="M2" s="17">
        <f>J2/H2</f>
        <v>0.55555555555555558</v>
      </c>
    </row>
    <row r="3" spans="1:13" x14ac:dyDescent="0.3">
      <c r="A3">
        <f>'Line productivity'!C3</f>
        <v>422112</v>
      </c>
      <c r="B3" s="15">
        <f>'Line productivity'!A3</f>
        <v>45533</v>
      </c>
      <c r="C3" t="str">
        <f>'Line productivity'!B3</f>
        <v>LE-600</v>
      </c>
      <c r="D3" t="str">
        <f>'Line productivity'!D3</f>
        <v>Mac</v>
      </c>
      <c r="E3" s="16">
        <f>'Line productivity'!E3</f>
        <v>0.58680555555555558</v>
      </c>
      <c r="F3" s="16">
        <f>'Line productivity'!F3</f>
        <v>0.65625</v>
      </c>
      <c r="G3">
        <f>_xlfn.XLOOKUP(C3,Products!$A$2:$A$7,Products!$D$2:$D$7,"Not Found")</f>
        <v>60</v>
      </c>
      <c r="H3" s="13">
        <f t="shared" ref="H3:H39" si="0">(F3-E3)*1440</f>
        <v>99.999999999999972</v>
      </c>
      <c r="I3" s="13">
        <f t="shared" ref="I3:I39" si="1">H3-G3</f>
        <v>39.999999999999972</v>
      </c>
      <c r="J3">
        <f>SUMIF('Fact Downtime'!$A:$A,A3,'Fact Downtime'!$C:$C)</f>
        <v>40</v>
      </c>
      <c r="K3" s="13">
        <f t="shared" ref="K3:K39" si="2">I3-J3</f>
        <v>0</v>
      </c>
      <c r="L3" s="17">
        <f t="shared" ref="L3:L39" si="3">G3/H3</f>
        <v>0.6000000000000002</v>
      </c>
      <c r="M3" s="17">
        <f t="shared" ref="M3:M39" si="4">J3/H3</f>
        <v>0.40000000000000013</v>
      </c>
    </row>
    <row r="4" spans="1:13" x14ac:dyDescent="0.3">
      <c r="A4">
        <f>'Line productivity'!C4</f>
        <v>422113</v>
      </c>
      <c r="B4" s="15">
        <f>'Line productivity'!A4</f>
        <v>45533</v>
      </c>
      <c r="C4" t="str">
        <f>'Line productivity'!B4</f>
        <v>LE-600</v>
      </c>
      <c r="D4" t="str">
        <f>'Line productivity'!D4</f>
        <v>Mac</v>
      </c>
      <c r="E4" s="16">
        <f>'Line productivity'!E4</f>
        <v>0.65625</v>
      </c>
      <c r="F4" s="16">
        <f>'Line productivity'!F4</f>
        <v>0.73263888888888884</v>
      </c>
      <c r="G4">
        <f>_xlfn.XLOOKUP(C4,Products!$A$2:$A$7,Products!$D$2:$D$7,"Not Found")</f>
        <v>60</v>
      </c>
      <c r="H4" s="13">
        <f t="shared" si="0"/>
        <v>109.99999999999993</v>
      </c>
      <c r="I4" s="13">
        <f t="shared" si="1"/>
        <v>49.999999999999929</v>
      </c>
      <c r="J4">
        <f>SUMIF('Fact Downtime'!$A:$A,A4,'Fact Downtime'!$C:$C)</f>
        <v>50</v>
      </c>
      <c r="K4" s="13">
        <f t="shared" si="2"/>
        <v>-7.1054273576010019E-14</v>
      </c>
      <c r="L4" s="17">
        <f t="shared" si="3"/>
        <v>0.54545454545454586</v>
      </c>
      <c r="M4" s="17">
        <f t="shared" si="4"/>
        <v>0.45454545454545486</v>
      </c>
    </row>
    <row r="5" spans="1:13" x14ac:dyDescent="0.3">
      <c r="A5">
        <f>'Line productivity'!C5</f>
        <v>422114</v>
      </c>
      <c r="B5" s="15">
        <f>'Line productivity'!A5</f>
        <v>45533</v>
      </c>
      <c r="C5" t="str">
        <f>'Line productivity'!B5</f>
        <v>LE-600</v>
      </c>
      <c r="D5" t="str">
        <f>'Line productivity'!D5</f>
        <v>Mac</v>
      </c>
      <c r="E5" s="16">
        <f>'Line productivity'!E5</f>
        <v>0.73263888888888884</v>
      </c>
      <c r="F5" s="16">
        <f>'Line productivity'!F5</f>
        <v>0.80208333333333326</v>
      </c>
      <c r="G5">
        <f>_xlfn.XLOOKUP(C5,Products!$A$2:$A$7,Products!$D$2:$D$7,"Not Found")</f>
        <v>60</v>
      </c>
      <c r="H5" s="13">
        <f t="shared" si="0"/>
        <v>99.999999999999972</v>
      </c>
      <c r="I5" s="13">
        <f t="shared" si="1"/>
        <v>39.999999999999972</v>
      </c>
      <c r="J5">
        <f>SUMIF('Fact Downtime'!$A:$A,A5,'Fact Downtime'!$C:$C)</f>
        <v>40</v>
      </c>
      <c r="K5" s="13">
        <f t="shared" si="2"/>
        <v>0</v>
      </c>
      <c r="L5" s="17">
        <f t="shared" si="3"/>
        <v>0.6000000000000002</v>
      </c>
      <c r="M5" s="17">
        <f t="shared" si="4"/>
        <v>0.40000000000000013</v>
      </c>
    </row>
    <row r="6" spans="1:13" x14ac:dyDescent="0.3">
      <c r="A6">
        <f>'Line productivity'!C6</f>
        <v>422115</v>
      </c>
      <c r="B6" s="15">
        <f>'Line productivity'!A6</f>
        <v>45533</v>
      </c>
      <c r="C6" t="str">
        <f>'Line productivity'!B6</f>
        <v>LE-600</v>
      </c>
      <c r="D6" t="str">
        <f>'Line productivity'!D6</f>
        <v>Charlie</v>
      </c>
      <c r="E6" s="16">
        <f>'Line productivity'!E6</f>
        <v>0.80208333333333326</v>
      </c>
      <c r="F6" s="16">
        <f>'Line productivity'!F6</f>
        <v>0.86041666666666661</v>
      </c>
      <c r="G6">
        <f>_xlfn.XLOOKUP(C6,Products!$A$2:$A$7,Products!$D$2:$D$7,"Not Found")</f>
        <v>60</v>
      </c>
      <c r="H6" s="13">
        <f t="shared" si="0"/>
        <v>84.000000000000028</v>
      </c>
      <c r="I6" s="13">
        <f t="shared" si="1"/>
        <v>24.000000000000028</v>
      </c>
      <c r="J6">
        <f>SUMIF('Fact Downtime'!$A:$A,A6,'Fact Downtime'!$C:$C)</f>
        <v>24</v>
      </c>
      <c r="K6" s="13">
        <f t="shared" si="2"/>
        <v>2.8421709430404007E-14</v>
      </c>
      <c r="L6" s="17">
        <f t="shared" si="3"/>
        <v>0.71428571428571408</v>
      </c>
      <c r="M6" s="17">
        <f t="shared" si="4"/>
        <v>0.28571428571428564</v>
      </c>
    </row>
    <row r="7" spans="1:13" x14ac:dyDescent="0.3">
      <c r="A7">
        <f>'Line productivity'!C7</f>
        <v>422116</v>
      </c>
      <c r="B7" s="15">
        <f>'Line productivity'!A7</f>
        <v>45533</v>
      </c>
      <c r="C7" t="str">
        <f>'Line productivity'!B7</f>
        <v>LE-600</v>
      </c>
      <c r="D7" t="str">
        <f>'Line productivity'!D7</f>
        <v>Charlie</v>
      </c>
      <c r="E7" s="16">
        <f>'Line productivity'!E7</f>
        <v>0.86041666666666661</v>
      </c>
      <c r="F7" s="16">
        <f>'Line productivity'!F7</f>
        <v>0.90208333333333324</v>
      </c>
      <c r="G7">
        <f>_xlfn.XLOOKUP(C7,Products!$A$2:$A$7,Products!$D$2:$D$7,"Not Found")</f>
        <v>60</v>
      </c>
      <c r="H7" s="13">
        <f t="shared" si="0"/>
        <v>59.999999999999943</v>
      </c>
      <c r="I7" s="13">
        <f t="shared" si="1"/>
        <v>-5.6843418860808015E-14</v>
      </c>
      <c r="J7">
        <f>SUMIF('Fact Downtime'!$A:$A,A7,'Fact Downtime'!$C:$C)</f>
        <v>0</v>
      </c>
      <c r="K7" s="13">
        <f t="shared" si="2"/>
        <v>-5.6843418860808015E-14</v>
      </c>
      <c r="L7" s="17">
        <f t="shared" si="3"/>
        <v>1.0000000000000009</v>
      </c>
      <c r="M7" s="17">
        <f t="shared" si="4"/>
        <v>0</v>
      </c>
    </row>
    <row r="8" spans="1:13" x14ac:dyDescent="0.3">
      <c r="A8">
        <f>'Line productivity'!C8</f>
        <v>422117</v>
      </c>
      <c r="B8" s="15">
        <f>'Line productivity'!A8</f>
        <v>45533</v>
      </c>
      <c r="C8" t="str">
        <f>'Line productivity'!B8</f>
        <v>LE-600</v>
      </c>
      <c r="D8" t="str">
        <f>'Line productivity'!D8</f>
        <v>Charlie</v>
      </c>
      <c r="E8" s="16">
        <f>'Line productivity'!E8</f>
        <v>0.90208333333333324</v>
      </c>
      <c r="F8" s="16">
        <f>'Line productivity'!F8</f>
        <v>0.95416666666666661</v>
      </c>
      <c r="G8">
        <f>_xlfn.XLOOKUP(C8,Products!$A$2:$A$7,Products!$D$2:$D$7,"Not Found")</f>
        <v>60</v>
      </c>
      <c r="H8" s="13">
        <f t="shared" si="0"/>
        <v>75.000000000000057</v>
      </c>
      <c r="I8" s="13">
        <f t="shared" si="1"/>
        <v>15.000000000000057</v>
      </c>
      <c r="J8">
        <f>SUMIF('Fact Downtime'!$A:$A,A8,'Fact Downtime'!$C:$C)</f>
        <v>15</v>
      </c>
      <c r="K8" s="13">
        <f t="shared" si="2"/>
        <v>5.6843418860808015E-14</v>
      </c>
      <c r="L8" s="17">
        <f t="shared" si="3"/>
        <v>0.79999999999999938</v>
      </c>
      <c r="M8" s="17">
        <f t="shared" si="4"/>
        <v>0.19999999999999984</v>
      </c>
    </row>
    <row r="9" spans="1:13" x14ac:dyDescent="0.3">
      <c r="A9">
        <f>'Line productivity'!C9</f>
        <v>422118</v>
      </c>
      <c r="B9" s="15">
        <f>'Line productivity'!A9</f>
        <v>45534</v>
      </c>
      <c r="C9" t="str">
        <f>'Line productivity'!B9</f>
        <v>CO-600</v>
      </c>
      <c r="D9" t="str">
        <f>'Line productivity'!D9</f>
        <v>Dee</v>
      </c>
      <c r="E9" s="16">
        <f>'Line productivity'!E9</f>
        <v>0.1701388888888889</v>
      </c>
      <c r="F9" s="16">
        <f>'Line productivity'!F9</f>
        <v>0.25347222222222221</v>
      </c>
      <c r="G9">
        <f>_xlfn.XLOOKUP(C9,Products!$A$2:$A$7,Products!$D$2:$D$7,"Not Found")</f>
        <v>60</v>
      </c>
      <c r="H9" s="13">
        <f t="shared" si="0"/>
        <v>119.99999999999997</v>
      </c>
      <c r="I9" s="13">
        <f t="shared" si="1"/>
        <v>59.999999999999972</v>
      </c>
      <c r="J9">
        <f>SUMIF('Fact Downtime'!$A:$A,A9,'Fact Downtime'!$C:$C)</f>
        <v>60</v>
      </c>
      <c r="K9" s="13">
        <f t="shared" si="2"/>
        <v>0</v>
      </c>
      <c r="L9" s="17">
        <f t="shared" si="3"/>
        <v>0.50000000000000011</v>
      </c>
      <c r="M9" s="17">
        <f t="shared" si="4"/>
        <v>0.50000000000000011</v>
      </c>
    </row>
    <row r="10" spans="1:13" x14ac:dyDescent="0.3">
      <c r="A10">
        <f>'Line productivity'!C10</f>
        <v>422119</v>
      </c>
      <c r="B10" s="15">
        <f>'Line productivity'!A10</f>
        <v>45534</v>
      </c>
      <c r="C10" t="str">
        <f>'Line productivity'!B10</f>
        <v>CO-600</v>
      </c>
      <c r="D10" t="str">
        <f>'Line productivity'!D10</f>
        <v>Dee</v>
      </c>
      <c r="E10" s="16">
        <f>'Line productivity'!E10</f>
        <v>0.25347222222222221</v>
      </c>
      <c r="F10" s="16">
        <f>'Line productivity'!F10</f>
        <v>0.3125</v>
      </c>
      <c r="G10">
        <f>_xlfn.XLOOKUP(C10,Products!$A$2:$A$7,Products!$D$2:$D$7,"Not Found")</f>
        <v>60</v>
      </c>
      <c r="H10" s="13">
        <f t="shared" si="0"/>
        <v>85.000000000000014</v>
      </c>
      <c r="I10" s="13">
        <f t="shared" si="1"/>
        <v>25.000000000000014</v>
      </c>
      <c r="J10">
        <f>SUMIF('Fact Downtime'!$A:$A,A10,'Fact Downtime'!$C:$C)</f>
        <v>25</v>
      </c>
      <c r="K10" s="13">
        <f t="shared" si="2"/>
        <v>0</v>
      </c>
      <c r="L10" s="17">
        <f t="shared" si="3"/>
        <v>0.70588235294117641</v>
      </c>
      <c r="M10" s="17">
        <f t="shared" si="4"/>
        <v>0.29411764705882348</v>
      </c>
    </row>
    <row r="11" spans="1:13" x14ac:dyDescent="0.3">
      <c r="A11">
        <f>'Line productivity'!C11</f>
        <v>422120</v>
      </c>
      <c r="B11" s="15">
        <f>'Line productivity'!A11</f>
        <v>45534</v>
      </c>
      <c r="C11" t="str">
        <f>'Line productivity'!B11</f>
        <v>CO-600</v>
      </c>
      <c r="D11" t="str">
        <f>'Line productivity'!D11</f>
        <v>Dee</v>
      </c>
      <c r="E11" s="16">
        <f>'Line productivity'!E11</f>
        <v>0.3125</v>
      </c>
      <c r="F11" s="16">
        <f>'Line productivity'!F11</f>
        <v>0.39027777777777778</v>
      </c>
      <c r="G11">
        <f>_xlfn.XLOOKUP(C11,Products!$A$2:$A$7,Products!$D$2:$D$7,"Not Found")</f>
        <v>60</v>
      </c>
      <c r="H11" s="13">
        <f t="shared" si="0"/>
        <v>112</v>
      </c>
      <c r="I11" s="13">
        <f t="shared" si="1"/>
        <v>52</v>
      </c>
      <c r="J11">
        <f>SUMIF('Fact Downtime'!$A:$A,A11,'Fact Downtime'!$C:$C)</f>
        <v>52</v>
      </c>
      <c r="K11" s="13">
        <f t="shared" si="2"/>
        <v>0</v>
      </c>
      <c r="L11" s="17">
        <f t="shared" si="3"/>
        <v>0.5357142857142857</v>
      </c>
      <c r="M11" s="17">
        <f t="shared" si="4"/>
        <v>0.4642857142857143</v>
      </c>
    </row>
    <row r="12" spans="1:13" x14ac:dyDescent="0.3">
      <c r="A12">
        <f>'Line productivity'!C12</f>
        <v>422121</v>
      </c>
      <c r="B12" s="15">
        <f>'Line productivity'!A12</f>
        <v>45534</v>
      </c>
      <c r="C12" t="str">
        <f>'Line productivity'!B12</f>
        <v>CO-600</v>
      </c>
      <c r="D12" t="str">
        <f>'Line productivity'!D12</f>
        <v>Dennis</v>
      </c>
      <c r="E12" s="16">
        <f>'Line productivity'!E12</f>
        <v>0.39027777777777778</v>
      </c>
      <c r="F12" s="16">
        <f>'Line productivity'!F12</f>
        <v>0.44236111111111109</v>
      </c>
      <c r="G12">
        <f>_xlfn.XLOOKUP(C12,Products!$A$2:$A$7,Products!$D$2:$D$7,"Not Found")</f>
        <v>60</v>
      </c>
      <c r="H12" s="13">
        <f t="shared" si="0"/>
        <v>74.999999999999972</v>
      </c>
      <c r="I12" s="13">
        <f t="shared" si="1"/>
        <v>14.999999999999972</v>
      </c>
      <c r="J12">
        <f>SUMIF('Fact Downtime'!$A:$A,A12,'Fact Downtime'!$C:$C)</f>
        <v>15</v>
      </c>
      <c r="K12" s="13">
        <f t="shared" si="2"/>
        <v>-2.8421709430404007E-14</v>
      </c>
      <c r="L12" s="17">
        <f t="shared" si="3"/>
        <v>0.80000000000000027</v>
      </c>
      <c r="M12" s="17">
        <f t="shared" si="4"/>
        <v>0.20000000000000007</v>
      </c>
    </row>
    <row r="13" spans="1:13" x14ac:dyDescent="0.3">
      <c r="A13">
        <f>'Line productivity'!C13</f>
        <v>422122</v>
      </c>
      <c r="B13" s="15">
        <f>'Line productivity'!A13</f>
        <v>45534</v>
      </c>
      <c r="C13" t="str">
        <f>'Line productivity'!B13</f>
        <v>CO-600</v>
      </c>
      <c r="D13" t="str">
        <f>'Line productivity'!D13</f>
        <v>Dennis</v>
      </c>
      <c r="E13" s="16">
        <f>'Line productivity'!E13</f>
        <v>0.44236111111111109</v>
      </c>
      <c r="F13" s="16">
        <f>'Line productivity'!F13</f>
        <v>0.50138888888888888</v>
      </c>
      <c r="G13">
        <f>_xlfn.XLOOKUP(C13,Products!$A$2:$A$7,Products!$D$2:$D$7,"Not Found")</f>
        <v>60</v>
      </c>
      <c r="H13" s="13">
        <f t="shared" si="0"/>
        <v>85.000000000000014</v>
      </c>
      <c r="I13" s="13">
        <f t="shared" si="1"/>
        <v>25.000000000000014</v>
      </c>
      <c r="J13">
        <f>SUMIF('Fact Downtime'!$A:$A,A13,'Fact Downtime'!$C:$C)</f>
        <v>25</v>
      </c>
      <c r="K13" s="13">
        <f t="shared" si="2"/>
        <v>0</v>
      </c>
      <c r="L13" s="17">
        <f t="shared" si="3"/>
        <v>0.70588235294117641</v>
      </c>
      <c r="M13" s="17">
        <f t="shared" si="4"/>
        <v>0.29411764705882348</v>
      </c>
    </row>
    <row r="14" spans="1:13" x14ac:dyDescent="0.3">
      <c r="A14">
        <f>'Line productivity'!C14</f>
        <v>422123</v>
      </c>
      <c r="B14" s="15">
        <f>'Line productivity'!A14</f>
        <v>45534</v>
      </c>
      <c r="C14" t="str">
        <f>'Line productivity'!B14</f>
        <v>CO-600</v>
      </c>
      <c r="D14" t="str">
        <f>'Line productivity'!D14</f>
        <v>Dennis</v>
      </c>
      <c r="E14" s="16">
        <f>'Line productivity'!E14</f>
        <v>0.50138888888888888</v>
      </c>
      <c r="F14" s="16">
        <f>'Line productivity'!F14</f>
        <v>0.59375</v>
      </c>
      <c r="G14">
        <f>_xlfn.XLOOKUP(C14,Products!$A$2:$A$7,Products!$D$2:$D$7,"Not Found")</f>
        <v>60</v>
      </c>
      <c r="H14" s="13">
        <f t="shared" si="0"/>
        <v>133</v>
      </c>
      <c r="I14" s="13">
        <f t="shared" si="1"/>
        <v>73</v>
      </c>
      <c r="J14">
        <f>SUMIF('Fact Downtime'!$A:$A,A14,'Fact Downtime'!$C:$C)</f>
        <v>73</v>
      </c>
      <c r="K14" s="13">
        <f t="shared" si="2"/>
        <v>0</v>
      </c>
      <c r="L14" s="17">
        <f t="shared" si="3"/>
        <v>0.45112781954887216</v>
      </c>
      <c r="M14" s="17">
        <f t="shared" si="4"/>
        <v>0.54887218045112784</v>
      </c>
    </row>
    <row r="15" spans="1:13" x14ac:dyDescent="0.3">
      <c r="A15">
        <f>'Line productivity'!C15</f>
        <v>422124</v>
      </c>
      <c r="B15" s="15">
        <f>'Line productivity'!A15</f>
        <v>45534</v>
      </c>
      <c r="C15" t="str">
        <f>'Line productivity'!B15</f>
        <v>CO-600</v>
      </c>
      <c r="D15" t="str">
        <f>'Line productivity'!D15</f>
        <v>Dennis</v>
      </c>
      <c r="E15" s="16">
        <f>'Line productivity'!E15</f>
        <v>0.59375</v>
      </c>
      <c r="F15" s="16">
        <f>'Line productivity'!F15</f>
        <v>0.66319444444444442</v>
      </c>
      <c r="G15">
        <f>_xlfn.XLOOKUP(C15,Products!$A$2:$A$7,Products!$D$2:$D$7,"Not Found")</f>
        <v>60</v>
      </c>
      <c r="H15" s="13">
        <f t="shared" si="0"/>
        <v>99.999999999999972</v>
      </c>
      <c r="I15" s="13">
        <f t="shared" si="1"/>
        <v>39.999999999999972</v>
      </c>
      <c r="J15">
        <f>SUMIF('Fact Downtime'!$A:$A,A15,'Fact Downtime'!$C:$C)</f>
        <v>40</v>
      </c>
      <c r="K15" s="13">
        <f t="shared" si="2"/>
        <v>0</v>
      </c>
      <c r="L15" s="17">
        <f t="shared" si="3"/>
        <v>0.6000000000000002</v>
      </c>
      <c r="M15" s="17">
        <f t="shared" si="4"/>
        <v>0.40000000000000013</v>
      </c>
    </row>
    <row r="16" spans="1:13" x14ac:dyDescent="0.3">
      <c r="A16">
        <f>'Line productivity'!C16</f>
        <v>422125</v>
      </c>
      <c r="B16" s="15">
        <f>'Line productivity'!A16</f>
        <v>45534</v>
      </c>
      <c r="C16" t="str">
        <f>'Line productivity'!B16</f>
        <v>CO-600</v>
      </c>
      <c r="D16" t="str">
        <f>'Line productivity'!D16</f>
        <v>Charlie</v>
      </c>
      <c r="E16" s="16">
        <f>'Line productivity'!E16</f>
        <v>0.66319444444444442</v>
      </c>
      <c r="F16" s="16">
        <f>'Line productivity'!F16</f>
        <v>0.71875</v>
      </c>
      <c r="G16">
        <f>_xlfn.XLOOKUP(C16,Products!$A$2:$A$7,Products!$D$2:$D$7,"Not Found")</f>
        <v>60</v>
      </c>
      <c r="H16" s="13">
        <f t="shared" si="0"/>
        <v>80.000000000000028</v>
      </c>
      <c r="I16" s="13">
        <f t="shared" si="1"/>
        <v>20.000000000000028</v>
      </c>
      <c r="J16">
        <f>SUMIF('Fact Downtime'!$A:$A,A16,'Fact Downtime'!$C:$C)</f>
        <v>20</v>
      </c>
      <c r="K16" s="13">
        <f t="shared" si="2"/>
        <v>2.8421709430404007E-14</v>
      </c>
      <c r="L16" s="17">
        <f t="shared" si="3"/>
        <v>0.74999999999999978</v>
      </c>
      <c r="M16" s="17">
        <f t="shared" si="4"/>
        <v>0.24999999999999992</v>
      </c>
    </row>
    <row r="17" spans="1:13" x14ac:dyDescent="0.3">
      <c r="A17">
        <f>'Line productivity'!C17</f>
        <v>422126</v>
      </c>
      <c r="B17" s="15">
        <f>'Line productivity'!A17</f>
        <v>45534</v>
      </c>
      <c r="C17" t="str">
        <f>'Line productivity'!B17</f>
        <v>CO-600</v>
      </c>
      <c r="D17" t="str">
        <f>'Line productivity'!D17</f>
        <v>Charlie</v>
      </c>
      <c r="E17" s="16">
        <f>'Line productivity'!E17</f>
        <v>0.71875</v>
      </c>
      <c r="F17" s="16">
        <f>'Line productivity'!F17</f>
        <v>0.79097222222222219</v>
      </c>
      <c r="G17">
        <f>_xlfn.XLOOKUP(C17,Products!$A$2:$A$7,Products!$D$2:$D$7,"Not Found")</f>
        <v>60</v>
      </c>
      <c r="H17" s="13">
        <f t="shared" si="0"/>
        <v>103.99999999999994</v>
      </c>
      <c r="I17" s="13">
        <f t="shared" si="1"/>
        <v>43.999999999999943</v>
      </c>
      <c r="J17">
        <f>SUMIF('Fact Downtime'!$A:$A,A17,'Fact Downtime'!$C:$C)</f>
        <v>44</v>
      </c>
      <c r="K17" s="13">
        <f t="shared" si="2"/>
        <v>-5.6843418860808015E-14</v>
      </c>
      <c r="L17" s="17">
        <f t="shared" si="3"/>
        <v>0.5769230769230772</v>
      </c>
      <c r="M17" s="17">
        <f t="shared" si="4"/>
        <v>0.42307692307692329</v>
      </c>
    </row>
    <row r="18" spans="1:13" x14ac:dyDescent="0.3">
      <c r="A18">
        <f>'Line productivity'!C18</f>
        <v>422127</v>
      </c>
      <c r="B18" s="15">
        <f>'Line productivity'!A18</f>
        <v>45534</v>
      </c>
      <c r="C18" t="str">
        <f>'Line productivity'!B18</f>
        <v>CO-600</v>
      </c>
      <c r="D18" t="str">
        <f>'Line productivity'!D18</f>
        <v>Charlie</v>
      </c>
      <c r="E18" s="16">
        <f>'Line productivity'!E18</f>
        <v>0.79097222222222219</v>
      </c>
      <c r="F18" s="16">
        <f>'Line productivity'!F18</f>
        <v>0.84861111111111109</v>
      </c>
      <c r="G18">
        <f>_xlfn.XLOOKUP(C18,Products!$A$2:$A$7,Products!$D$2:$D$7,"Not Found")</f>
        <v>60</v>
      </c>
      <c r="H18" s="13">
        <f t="shared" si="0"/>
        <v>83.000000000000028</v>
      </c>
      <c r="I18" s="13">
        <f t="shared" si="1"/>
        <v>23.000000000000028</v>
      </c>
      <c r="J18">
        <f>SUMIF('Fact Downtime'!$A:$A,A18,'Fact Downtime'!$C:$C)</f>
        <v>23</v>
      </c>
      <c r="K18" s="13">
        <f t="shared" si="2"/>
        <v>2.8421709430404007E-14</v>
      </c>
      <c r="L18" s="17">
        <f t="shared" si="3"/>
        <v>0.72289156626506001</v>
      </c>
      <c r="M18" s="17">
        <f t="shared" si="4"/>
        <v>0.27710843373493965</v>
      </c>
    </row>
    <row r="19" spans="1:13" x14ac:dyDescent="0.3">
      <c r="A19">
        <f>'Line productivity'!C19</f>
        <v>422128</v>
      </c>
      <c r="B19" s="15">
        <f>'Line productivity'!A19</f>
        <v>45534</v>
      </c>
      <c r="C19" t="str">
        <f>'Line productivity'!B19</f>
        <v>CO-600</v>
      </c>
      <c r="D19" t="str">
        <f>'Line productivity'!D19</f>
        <v>Charlie</v>
      </c>
      <c r="E19" s="16">
        <f>'Line productivity'!E19</f>
        <v>0.84861111111111109</v>
      </c>
      <c r="F19" s="16">
        <f>'Line productivity'!F19</f>
        <v>0.92638888888888893</v>
      </c>
      <c r="G19">
        <f>_xlfn.XLOOKUP(C19,Products!$A$2:$A$7,Products!$D$2:$D$7,"Not Found")</f>
        <v>60</v>
      </c>
      <c r="H19" s="13">
        <f t="shared" si="0"/>
        <v>112.00000000000009</v>
      </c>
      <c r="I19" s="13">
        <f t="shared" si="1"/>
        <v>52.000000000000085</v>
      </c>
      <c r="J19">
        <f>SUMIF('Fact Downtime'!$A:$A,A19,'Fact Downtime'!$C:$C)</f>
        <v>52</v>
      </c>
      <c r="K19" s="13">
        <f t="shared" si="2"/>
        <v>8.5265128291212022E-14</v>
      </c>
      <c r="L19" s="17">
        <f t="shared" si="3"/>
        <v>0.53571428571428525</v>
      </c>
      <c r="M19" s="17">
        <f t="shared" si="4"/>
        <v>0.46428571428571391</v>
      </c>
    </row>
    <row r="20" spans="1:13" x14ac:dyDescent="0.3">
      <c r="A20">
        <f>'Line productivity'!C20</f>
        <v>422129</v>
      </c>
      <c r="B20" s="15">
        <f>'Line productivity'!A20</f>
        <v>45534</v>
      </c>
      <c r="C20" t="str">
        <f>'Line productivity'!B20</f>
        <v>CO-600</v>
      </c>
      <c r="D20" t="str">
        <f>'Line productivity'!D20</f>
        <v>Charlie</v>
      </c>
      <c r="E20" s="16">
        <f>'Line productivity'!E20</f>
        <v>0.92638888888888893</v>
      </c>
      <c r="F20" s="16">
        <f>'Line productivity'!F20</f>
        <v>0.97847222222222219</v>
      </c>
      <c r="G20">
        <f>_xlfn.XLOOKUP(C20,Products!$A$2:$A$7,Products!$D$2:$D$7,"Not Found")</f>
        <v>60</v>
      </c>
      <c r="H20" s="13">
        <f t="shared" si="0"/>
        <v>74.999999999999886</v>
      </c>
      <c r="I20" s="13">
        <f t="shared" si="1"/>
        <v>14.999999999999886</v>
      </c>
      <c r="J20">
        <f>SUMIF('Fact Downtime'!$A:$A,A20,'Fact Downtime'!$C:$C)</f>
        <v>15</v>
      </c>
      <c r="K20" s="13">
        <f t="shared" si="2"/>
        <v>-1.1368683772161603E-13</v>
      </c>
      <c r="L20" s="17">
        <f t="shared" si="3"/>
        <v>0.80000000000000127</v>
      </c>
      <c r="M20" s="17">
        <f t="shared" si="4"/>
        <v>0.20000000000000032</v>
      </c>
    </row>
    <row r="21" spans="1:13" x14ac:dyDescent="0.3">
      <c r="A21">
        <f>'Line productivity'!C21</f>
        <v>422130</v>
      </c>
      <c r="B21" s="15">
        <f>'Line productivity'!A21</f>
        <v>45535</v>
      </c>
      <c r="C21" t="str">
        <f>'Line productivity'!B21</f>
        <v>CO-600</v>
      </c>
      <c r="D21" t="str">
        <f>'Line productivity'!D21</f>
        <v>Dee</v>
      </c>
      <c r="E21" s="16">
        <f>'Line productivity'!E21</f>
        <v>0.32291666666666669</v>
      </c>
      <c r="F21" s="16">
        <f>'Line productivity'!F21</f>
        <v>0.37847222222222221</v>
      </c>
      <c r="G21">
        <f>_xlfn.XLOOKUP(C21,Products!$A$2:$A$7,Products!$D$2:$D$7,"Not Found")</f>
        <v>60</v>
      </c>
      <c r="H21" s="13">
        <f t="shared" si="0"/>
        <v>79.999999999999957</v>
      </c>
      <c r="I21" s="13">
        <f t="shared" si="1"/>
        <v>19.999999999999957</v>
      </c>
      <c r="J21">
        <f>SUMIF('Fact Downtime'!$A:$A,A21,'Fact Downtime'!$C:$C)</f>
        <v>20</v>
      </c>
      <c r="K21" s="13">
        <f t="shared" si="2"/>
        <v>-4.2632564145606011E-14</v>
      </c>
      <c r="L21" s="17">
        <f t="shared" si="3"/>
        <v>0.75000000000000044</v>
      </c>
      <c r="M21" s="17">
        <f t="shared" si="4"/>
        <v>0.25000000000000011</v>
      </c>
    </row>
    <row r="22" spans="1:13" x14ac:dyDescent="0.3">
      <c r="A22">
        <f>'Line productivity'!C22</f>
        <v>422131</v>
      </c>
      <c r="B22" s="15">
        <f>'Line productivity'!A22</f>
        <v>45535</v>
      </c>
      <c r="C22" t="str">
        <f>'Line productivity'!B22</f>
        <v>CO-600</v>
      </c>
      <c r="D22" t="str">
        <f>'Line productivity'!D22</f>
        <v>Dee</v>
      </c>
      <c r="E22" s="16">
        <f>'Line productivity'!E22</f>
        <v>0.37847222222222221</v>
      </c>
      <c r="F22" s="16">
        <f>'Line productivity'!F22</f>
        <v>0.44097222222222221</v>
      </c>
      <c r="G22">
        <f>_xlfn.XLOOKUP(C22,Products!$A$2:$A$7,Products!$D$2:$D$7,"Not Found")</f>
        <v>60</v>
      </c>
      <c r="H22" s="13">
        <f t="shared" si="0"/>
        <v>90</v>
      </c>
      <c r="I22" s="13">
        <f t="shared" si="1"/>
        <v>30</v>
      </c>
      <c r="J22">
        <f>SUMIF('Fact Downtime'!$A:$A,A22,'Fact Downtime'!$C:$C)</f>
        <v>30</v>
      </c>
      <c r="K22" s="13">
        <f t="shared" si="2"/>
        <v>0</v>
      </c>
      <c r="L22" s="17">
        <f t="shared" si="3"/>
        <v>0.66666666666666663</v>
      </c>
      <c r="M22" s="17">
        <f t="shared" si="4"/>
        <v>0.33333333333333331</v>
      </c>
    </row>
    <row r="23" spans="1:13" x14ac:dyDescent="0.3">
      <c r="A23">
        <f>'Line productivity'!C23</f>
        <v>422132</v>
      </c>
      <c r="B23" s="15">
        <f>'Line productivity'!A23</f>
        <v>45535</v>
      </c>
      <c r="C23" t="str">
        <f>'Line productivity'!B23</f>
        <v>CO-600</v>
      </c>
      <c r="D23" t="str">
        <f>'Line productivity'!D23</f>
        <v>Dee</v>
      </c>
      <c r="E23" s="16">
        <f>'Line productivity'!E23</f>
        <v>0.44097222222222221</v>
      </c>
      <c r="F23" s="16">
        <f>'Line productivity'!F23</f>
        <v>0.4826388888888889</v>
      </c>
      <c r="G23">
        <f>_xlfn.XLOOKUP(C23,Products!$A$2:$A$7,Products!$D$2:$D$7,"Not Found")</f>
        <v>60</v>
      </c>
      <c r="H23" s="13">
        <f t="shared" si="0"/>
        <v>60.000000000000028</v>
      </c>
      <c r="I23" s="13">
        <f t="shared" si="1"/>
        <v>0</v>
      </c>
      <c r="J23">
        <f>SUMIF('Fact Downtime'!$A:$A,A23,'Fact Downtime'!$C:$C)</f>
        <v>0</v>
      </c>
      <c r="K23" s="13">
        <f t="shared" si="2"/>
        <v>0</v>
      </c>
      <c r="L23" s="17">
        <f t="shared" si="3"/>
        <v>0.99999999999999956</v>
      </c>
      <c r="M23" s="17">
        <f t="shared" si="4"/>
        <v>0</v>
      </c>
    </row>
    <row r="24" spans="1:13" x14ac:dyDescent="0.3">
      <c r="A24">
        <f>'Line productivity'!C24</f>
        <v>422133</v>
      </c>
      <c r="B24" s="15">
        <f>'Line productivity'!A24</f>
        <v>45535</v>
      </c>
      <c r="C24" t="str">
        <f>'Line productivity'!B24</f>
        <v>DC-600</v>
      </c>
      <c r="D24" t="str">
        <f>'Line productivity'!D24</f>
        <v>Dee</v>
      </c>
      <c r="E24" s="16">
        <f>'Line productivity'!E24</f>
        <v>0.4826388888888889</v>
      </c>
      <c r="F24" s="16">
        <f>'Line productivity'!F24</f>
        <v>0.53819444444444442</v>
      </c>
      <c r="G24">
        <f>_xlfn.XLOOKUP(C24,Products!$A$2:$A$7,Products!$D$2:$D$7,"Not Found")</f>
        <v>60</v>
      </c>
      <c r="H24" s="13">
        <f t="shared" si="0"/>
        <v>79.999999999999957</v>
      </c>
      <c r="I24" s="13">
        <f t="shared" si="1"/>
        <v>19.999999999999957</v>
      </c>
      <c r="J24">
        <f>SUMIF('Fact Downtime'!$A:$A,A24,'Fact Downtime'!$C:$C)</f>
        <v>20</v>
      </c>
      <c r="K24" s="13">
        <f t="shared" si="2"/>
        <v>-4.2632564145606011E-14</v>
      </c>
      <c r="L24" s="17">
        <f t="shared" si="3"/>
        <v>0.75000000000000044</v>
      </c>
      <c r="M24" s="17">
        <f t="shared" si="4"/>
        <v>0.25000000000000011</v>
      </c>
    </row>
    <row r="25" spans="1:13" x14ac:dyDescent="0.3">
      <c r="A25">
        <f>'Line productivity'!C25</f>
        <v>422134</v>
      </c>
      <c r="B25" s="15">
        <f>'Line productivity'!A25</f>
        <v>45535</v>
      </c>
      <c r="C25" t="str">
        <f>'Line productivity'!B25</f>
        <v>DC-600</v>
      </c>
      <c r="D25" t="str">
        <f>'Line productivity'!D25</f>
        <v>Mac</v>
      </c>
      <c r="E25" s="16">
        <f>'Line productivity'!E25</f>
        <v>0.53819444444444442</v>
      </c>
      <c r="F25" s="16">
        <f>'Line productivity'!F25</f>
        <v>0.61458333333333337</v>
      </c>
      <c r="G25">
        <f>_xlfn.XLOOKUP(C25,Products!$A$2:$A$7,Products!$D$2:$D$7,"Not Found")</f>
        <v>60</v>
      </c>
      <c r="H25" s="13">
        <f t="shared" si="0"/>
        <v>110.00000000000009</v>
      </c>
      <c r="I25" s="13">
        <f t="shared" si="1"/>
        <v>50.000000000000085</v>
      </c>
      <c r="J25">
        <f>SUMIF('Fact Downtime'!$A:$A,A25,'Fact Downtime'!$C:$C)</f>
        <v>50</v>
      </c>
      <c r="K25" s="13">
        <f t="shared" si="2"/>
        <v>8.5265128291212022E-14</v>
      </c>
      <c r="L25" s="17">
        <f t="shared" si="3"/>
        <v>0.54545454545454508</v>
      </c>
      <c r="M25" s="17">
        <f t="shared" si="4"/>
        <v>0.4545454545454542</v>
      </c>
    </row>
    <row r="26" spans="1:13" x14ac:dyDescent="0.3">
      <c r="A26">
        <f>'Line productivity'!C26</f>
        <v>422135</v>
      </c>
      <c r="B26" s="15">
        <f>'Line productivity'!A26</f>
        <v>45535</v>
      </c>
      <c r="C26" t="str">
        <f>'Line productivity'!B26</f>
        <v>DC-600</v>
      </c>
      <c r="D26" t="str">
        <f>'Line productivity'!D26</f>
        <v>Mac</v>
      </c>
      <c r="E26" s="16">
        <f>'Line productivity'!E26</f>
        <v>0.61458333333333337</v>
      </c>
      <c r="F26" s="16">
        <f>'Line productivity'!F26</f>
        <v>0.6875</v>
      </c>
      <c r="G26">
        <f>_xlfn.XLOOKUP(C26,Products!$A$2:$A$7,Products!$D$2:$D$7,"Not Found")</f>
        <v>60</v>
      </c>
      <c r="H26" s="13">
        <f t="shared" si="0"/>
        <v>104.99999999999994</v>
      </c>
      <c r="I26" s="13">
        <f t="shared" si="1"/>
        <v>44.999999999999943</v>
      </c>
      <c r="J26">
        <f>SUMIF('Fact Downtime'!$A:$A,A26,'Fact Downtime'!$C:$C)</f>
        <v>45</v>
      </c>
      <c r="K26" s="13">
        <f t="shared" si="2"/>
        <v>-5.6843418860808015E-14</v>
      </c>
      <c r="L26" s="17">
        <f t="shared" si="3"/>
        <v>0.57142857142857173</v>
      </c>
      <c r="M26" s="17">
        <f t="shared" si="4"/>
        <v>0.42857142857142883</v>
      </c>
    </row>
    <row r="27" spans="1:13" x14ac:dyDescent="0.3">
      <c r="A27">
        <f>'Line productivity'!C27</f>
        <v>422136</v>
      </c>
      <c r="B27" s="15">
        <f>'Line productivity'!A27</f>
        <v>45535</v>
      </c>
      <c r="C27" t="str">
        <f>'Line productivity'!B27</f>
        <v>DC-600</v>
      </c>
      <c r="D27" t="str">
        <f>'Line productivity'!D27</f>
        <v>Mac</v>
      </c>
      <c r="E27" s="16">
        <f>'Line productivity'!E27</f>
        <v>0.6875</v>
      </c>
      <c r="F27" s="16">
        <f>'Line productivity'!F27</f>
        <v>0.72916666666666663</v>
      </c>
      <c r="G27">
        <f>_xlfn.XLOOKUP(C27,Products!$A$2:$A$7,Products!$D$2:$D$7,"Not Found")</f>
        <v>60</v>
      </c>
      <c r="H27" s="13">
        <f t="shared" si="0"/>
        <v>59.999999999999943</v>
      </c>
      <c r="I27" s="13">
        <f t="shared" si="1"/>
        <v>-5.6843418860808015E-14</v>
      </c>
      <c r="J27">
        <f>SUMIF('Fact Downtime'!$A:$A,A27,'Fact Downtime'!$C:$C)</f>
        <v>0</v>
      </c>
      <c r="K27" s="13">
        <f t="shared" si="2"/>
        <v>-5.6843418860808015E-14</v>
      </c>
      <c r="L27" s="17">
        <f t="shared" si="3"/>
        <v>1.0000000000000009</v>
      </c>
      <c r="M27" s="17">
        <f t="shared" si="4"/>
        <v>0</v>
      </c>
    </row>
    <row r="28" spans="1:13" x14ac:dyDescent="0.3">
      <c r="A28">
        <f>'Line productivity'!C28</f>
        <v>422137</v>
      </c>
      <c r="B28" s="15">
        <f>'Line productivity'!A28</f>
        <v>45537</v>
      </c>
      <c r="C28" t="str">
        <f>'Line productivity'!B28</f>
        <v>RB-600</v>
      </c>
      <c r="D28" t="str">
        <f>'Line productivity'!D28</f>
        <v>Dee</v>
      </c>
      <c r="E28" s="16">
        <f>'Line productivity'!E28</f>
        <v>4.1666666666666664E-2</v>
      </c>
      <c r="F28" s="16">
        <f>'Line productivity'!F28</f>
        <v>0.11458333333333333</v>
      </c>
      <c r="G28">
        <f>_xlfn.XLOOKUP(C28,Products!$A$2:$A$7,Products!$D$2:$D$7,"Not Found")</f>
        <v>60</v>
      </c>
      <c r="H28" s="13">
        <f t="shared" si="0"/>
        <v>104.99999999999999</v>
      </c>
      <c r="I28" s="13">
        <f t="shared" si="1"/>
        <v>44.999999999999986</v>
      </c>
      <c r="J28">
        <f>SUMIF('Fact Downtime'!$A:$A,A28,'Fact Downtime'!$C:$C)</f>
        <v>45</v>
      </c>
      <c r="K28" s="13">
        <f t="shared" si="2"/>
        <v>0</v>
      </c>
      <c r="L28" s="17">
        <f t="shared" si="3"/>
        <v>0.57142857142857151</v>
      </c>
      <c r="M28" s="17">
        <f t="shared" si="4"/>
        <v>0.4285714285714286</v>
      </c>
    </row>
    <row r="29" spans="1:13" x14ac:dyDescent="0.3">
      <c r="A29">
        <f>'Line productivity'!C29</f>
        <v>422138</v>
      </c>
      <c r="B29" s="15">
        <f>'Line productivity'!A29</f>
        <v>45537</v>
      </c>
      <c r="C29" t="str">
        <f>'Line productivity'!B29</f>
        <v>RB-600</v>
      </c>
      <c r="D29" t="str">
        <f>'Line productivity'!D29</f>
        <v>Dee</v>
      </c>
      <c r="E29" s="16">
        <f>'Line productivity'!E29</f>
        <v>0.11458333333333333</v>
      </c>
      <c r="F29" s="16">
        <f>'Line productivity'!F29</f>
        <v>0.1701388888888889</v>
      </c>
      <c r="G29">
        <f>_xlfn.XLOOKUP(C29,Products!$A$2:$A$7,Products!$D$2:$D$7,"Not Found")</f>
        <v>60</v>
      </c>
      <c r="H29" s="13">
        <f t="shared" si="0"/>
        <v>80.000000000000014</v>
      </c>
      <c r="I29" s="13">
        <f t="shared" si="1"/>
        <v>20.000000000000014</v>
      </c>
      <c r="J29">
        <f>SUMIF('Fact Downtime'!$A:$A,A29,'Fact Downtime'!$C:$C)</f>
        <v>20</v>
      </c>
      <c r="K29" s="13">
        <f t="shared" si="2"/>
        <v>0</v>
      </c>
      <c r="L29" s="17">
        <f t="shared" si="3"/>
        <v>0.74999999999999989</v>
      </c>
      <c r="M29" s="17">
        <f t="shared" si="4"/>
        <v>0.24999999999999994</v>
      </c>
    </row>
    <row r="30" spans="1:13" x14ac:dyDescent="0.3">
      <c r="A30">
        <f>'Line productivity'!C30</f>
        <v>422139</v>
      </c>
      <c r="B30" s="15">
        <f>'Line productivity'!A30</f>
        <v>45537</v>
      </c>
      <c r="C30" t="str">
        <f>'Line productivity'!B30</f>
        <v>RB-600</v>
      </c>
      <c r="D30" t="str">
        <f>'Line productivity'!D30</f>
        <v>Dee</v>
      </c>
      <c r="E30" s="16">
        <f>'Line productivity'!E30</f>
        <v>0.1701388888888889</v>
      </c>
      <c r="F30" s="16">
        <f>'Line productivity'!F30</f>
        <v>0.2361111111111111</v>
      </c>
      <c r="G30">
        <f>_xlfn.XLOOKUP(C30,Products!$A$2:$A$7,Products!$D$2:$D$7,"Not Found")</f>
        <v>60</v>
      </c>
      <c r="H30" s="13">
        <f t="shared" si="0"/>
        <v>94.999999999999986</v>
      </c>
      <c r="I30" s="13">
        <f t="shared" si="1"/>
        <v>34.999999999999986</v>
      </c>
      <c r="J30">
        <f>SUMIF('Fact Downtime'!$A:$A,A30,'Fact Downtime'!$C:$C)</f>
        <v>35</v>
      </c>
      <c r="K30" s="13">
        <f t="shared" si="2"/>
        <v>0</v>
      </c>
      <c r="L30" s="17">
        <f t="shared" si="3"/>
        <v>0.63157894736842113</v>
      </c>
      <c r="M30" s="17">
        <f t="shared" si="4"/>
        <v>0.36842105263157898</v>
      </c>
    </row>
    <row r="31" spans="1:13" x14ac:dyDescent="0.3">
      <c r="A31">
        <f>'Line productivity'!C31</f>
        <v>422140</v>
      </c>
      <c r="B31" s="15">
        <f>'Line productivity'!A31</f>
        <v>45537</v>
      </c>
      <c r="C31" t="str">
        <f>'Line productivity'!B31</f>
        <v>RB-600</v>
      </c>
      <c r="D31" t="str">
        <f>'Line productivity'!D31</f>
        <v>Dee</v>
      </c>
      <c r="E31" s="16">
        <f>'Line productivity'!E31</f>
        <v>0.2361111111111111</v>
      </c>
      <c r="F31" s="16">
        <f>'Line productivity'!F31</f>
        <v>0.3215277777777778</v>
      </c>
      <c r="G31">
        <f>_xlfn.XLOOKUP(C31,Products!$A$2:$A$7,Products!$D$2:$D$7,"Not Found")</f>
        <v>60</v>
      </c>
      <c r="H31" s="13">
        <f t="shared" si="0"/>
        <v>123.00000000000004</v>
      </c>
      <c r="I31" s="13">
        <f t="shared" si="1"/>
        <v>63.000000000000043</v>
      </c>
      <c r="J31">
        <f>SUMIF('Fact Downtime'!$A:$A,A31,'Fact Downtime'!$C:$C)</f>
        <v>63</v>
      </c>
      <c r="K31" s="13">
        <f t="shared" si="2"/>
        <v>0</v>
      </c>
      <c r="L31" s="17">
        <f t="shared" si="3"/>
        <v>0.48780487804878031</v>
      </c>
      <c r="M31" s="17">
        <f t="shared" si="4"/>
        <v>0.5121951219512193</v>
      </c>
    </row>
    <row r="32" spans="1:13" x14ac:dyDescent="0.3">
      <c r="A32">
        <f>'Line productivity'!C32</f>
        <v>422141</v>
      </c>
      <c r="B32" s="15">
        <f>'Line productivity'!A32</f>
        <v>45537</v>
      </c>
      <c r="C32" t="str">
        <f>'Line productivity'!B32</f>
        <v>RB-600</v>
      </c>
      <c r="D32" t="str">
        <f>'Line productivity'!D32</f>
        <v>Dennis</v>
      </c>
      <c r="E32" s="16">
        <f>'Line productivity'!E32</f>
        <v>0.3215277777777778</v>
      </c>
      <c r="F32" s="16">
        <f>'Line productivity'!F32</f>
        <v>0.36805555555555558</v>
      </c>
      <c r="G32">
        <f>_xlfn.XLOOKUP(C32,Products!$A$2:$A$7,Products!$D$2:$D$7,"Not Found")</f>
        <v>60</v>
      </c>
      <c r="H32" s="13">
        <f t="shared" si="0"/>
        <v>67</v>
      </c>
      <c r="I32" s="13">
        <f t="shared" si="1"/>
        <v>7</v>
      </c>
      <c r="J32">
        <f>SUMIF('Fact Downtime'!$A:$A,A32,'Fact Downtime'!$C:$C)</f>
        <v>7</v>
      </c>
      <c r="K32" s="13">
        <f t="shared" si="2"/>
        <v>0</v>
      </c>
      <c r="L32" s="17">
        <f t="shared" si="3"/>
        <v>0.89552238805970152</v>
      </c>
      <c r="M32" s="17">
        <f t="shared" si="4"/>
        <v>0.1044776119402985</v>
      </c>
    </row>
    <row r="33" spans="1:13" x14ac:dyDescent="0.3">
      <c r="A33">
        <f>'Line productivity'!C33</f>
        <v>422142</v>
      </c>
      <c r="B33" s="15">
        <f>'Line productivity'!A33</f>
        <v>45537</v>
      </c>
      <c r="C33" t="str">
        <f>'Line productivity'!B33</f>
        <v>RB-600</v>
      </c>
      <c r="D33" t="str">
        <f>'Line productivity'!D33</f>
        <v>Dennis</v>
      </c>
      <c r="E33" s="16">
        <f>'Line productivity'!E33</f>
        <v>0.36805555555555558</v>
      </c>
      <c r="F33" s="16">
        <f>'Line productivity'!F33</f>
        <v>0.43055555555555558</v>
      </c>
      <c r="G33">
        <f>_xlfn.XLOOKUP(C33,Products!$A$2:$A$7,Products!$D$2:$D$7,"Not Found")</f>
        <v>60</v>
      </c>
      <c r="H33" s="13">
        <f t="shared" si="0"/>
        <v>90</v>
      </c>
      <c r="I33" s="13">
        <f t="shared" si="1"/>
        <v>30</v>
      </c>
      <c r="J33">
        <f>SUMIF('Fact Downtime'!$A:$A,A33,'Fact Downtime'!$C:$C)</f>
        <v>30</v>
      </c>
      <c r="K33" s="13">
        <f t="shared" si="2"/>
        <v>0</v>
      </c>
      <c r="L33" s="17">
        <f t="shared" si="3"/>
        <v>0.66666666666666663</v>
      </c>
      <c r="M33" s="17">
        <f t="shared" si="4"/>
        <v>0.33333333333333331</v>
      </c>
    </row>
    <row r="34" spans="1:13" x14ac:dyDescent="0.3">
      <c r="A34">
        <f>'Line productivity'!C34</f>
        <v>422143</v>
      </c>
      <c r="B34" s="15">
        <f>'Line productivity'!A34</f>
        <v>45537</v>
      </c>
      <c r="C34" t="str">
        <f>'Line productivity'!B34</f>
        <v>RB-600</v>
      </c>
      <c r="D34" t="str">
        <f>'Line productivity'!D34</f>
        <v>Dennis</v>
      </c>
      <c r="E34" s="16">
        <f>'Line productivity'!E34</f>
        <v>0.43055555555555558</v>
      </c>
      <c r="F34" s="16">
        <f>'Line productivity'!F34</f>
        <v>0.51249999999999996</v>
      </c>
      <c r="G34">
        <f>_xlfn.XLOOKUP(C34,Products!$A$2:$A$7,Products!$D$2:$D$7,"Not Found")</f>
        <v>60</v>
      </c>
      <c r="H34" s="13">
        <f t="shared" si="0"/>
        <v>117.9999999999999</v>
      </c>
      <c r="I34" s="13">
        <f t="shared" si="1"/>
        <v>57.999999999999901</v>
      </c>
      <c r="J34">
        <f>SUMIF('Fact Downtime'!$A:$A,A34,'Fact Downtime'!$C:$C)</f>
        <v>58</v>
      </c>
      <c r="K34" s="13">
        <f t="shared" si="2"/>
        <v>-9.9475983006414026E-14</v>
      </c>
      <c r="L34" s="17">
        <f t="shared" si="3"/>
        <v>0.50847457627118686</v>
      </c>
      <c r="M34" s="17">
        <f t="shared" si="4"/>
        <v>0.49152542372881397</v>
      </c>
    </row>
    <row r="35" spans="1:13" x14ac:dyDescent="0.3">
      <c r="A35">
        <f>'Line productivity'!C35</f>
        <v>422144</v>
      </c>
      <c r="B35" s="15">
        <f>'Line productivity'!A35</f>
        <v>45537</v>
      </c>
      <c r="C35" t="str">
        <f>'Line productivity'!B35</f>
        <v>CO-2L</v>
      </c>
      <c r="D35" t="str">
        <f>'Line productivity'!D35</f>
        <v>Dennis</v>
      </c>
      <c r="E35" s="16">
        <f>'Line productivity'!E35</f>
        <v>0.51249999999999996</v>
      </c>
      <c r="F35" s="16">
        <f>'Line productivity'!F35</f>
        <v>0.61805555555555558</v>
      </c>
      <c r="G35">
        <f>_xlfn.XLOOKUP(C35,Products!$A$2:$A$7,Products!$D$2:$D$7,"Not Found")</f>
        <v>98</v>
      </c>
      <c r="H35" s="13">
        <f t="shared" si="0"/>
        <v>152.00000000000011</v>
      </c>
      <c r="I35" s="13">
        <f t="shared" si="1"/>
        <v>54.000000000000114</v>
      </c>
      <c r="J35">
        <f>SUMIF('Fact Downtime'!$A:$A,A35,'Fact Downtime'!$C:$C)</f>
        <v>54</v>
      </c>
      <c r="K35" s="13">
        <f t="shared" si="2"/>
        <v>1.1368683772161603E-13</v>
      </c>
      <c r="L35" s="17">
        <f t="shared" si="3"/>
        <v>0.64473684210526272</v>
      </c>
      <c r="M35" s="17">
        <f t="shared" si="4"/>
        <v>0.35526315789473656</v>
      </c>
    </row>
    <row r="36" spans="1:13" x14ac:dyDescent="0.3">
      <c r="A36">
        <f>'Line productivity'!C36</f>
        <v>422145</v>
      </c>
      <c r="B36" s="15">
        <f>'Line productivity'!A36</f>
        <v>45537</v>
      </c>
      <c r="C36" t="str">
        <f>'Line productivity'!B36</f>
        <v>CO-2L</v>
      </c>
      <c r="D36" t="str">
        <f>'Line productivity'!D36</f>
        <v>Charlie</v>
      </c>
      <c r="E36" s="16">
        <f>'Line productivity'!E36</f>
        <v>0.61805555555555558</v>
      </c>
      <c r="F36" s="16">
        <f>'Line productivity'!F36</f>
        <v>0.70138888888888895</v>
      </c>
      <c r="G36">
        <f>_xlfn.XLOOKUP(C36,Products!$A$2:$A$7,Products!$D$2:$D$7,"Not Found")</f>
        <v>98</v>
      </c>
      <c r="H36" s="13">
        <f t="shared" si="0"/>
        <v>120.00000000000006</v>
      </c>
      <c r="I36" s="13">
        <f t="shared" si="1"/>
        <v>22.000000000000057</v>
      </c>
      <c r="J36">
        <f>SUMIF('Fact Downtime'!$A:$A,A36,'Fact Downtime'!$C:$C)</f>
        <v>22</v>
      </c>
      <c r="K36" s="13">
        <f t="shared" si="2"/>
        <v>5.6843418860808015E-14</v>
      </c>
      <c r="L36" s="17">
        <f t="shared" si="3"/>
        <v>0.81666666666666632</v>
      </c>
      <c r="M36" s="17">
        <f t="shared" si="4"/>
        <v>0.18333333333333324</v>
      </c>
    </row>
    <row r="37" spans="1:13" x14ac:dyDescent="0.3">
      <c r="A37">
        <f>'Line productivity'!C37</f>
        <v>422146</v>
      </c>
      <c r="B37" s="15">
        <f>'Line productivity'!A37</f>
        <v>45537</v>
      </c>
      <c r="C37" t="str">
        <f>'Line productivity'!B37</f>
        <v>CO-2L</v>
      </c>
      <c r="D37" t="str">
        <f>'Line productivity'!D37</f>
        <v>Charlie</v>
      </c>
      <c r="E37" s="16">
        <f>'Line productivity'!E37</f>
        <v>0.70138888888888895</v>
      </c>
      <c r="F37" s="16">
        <f>'Line productivity'!F37</f>
        <v>0.8125</v>
      </c>
      <c r="G37">
        <f>_xlfn.XLOOKUP(C37,Products!$A$2:$A$7,Products!$D$2:$D$7,"Not Found")</f>
        <v>98</v>
      </c>
      <c r="H37" s="13">
        <f t="shared" si="0"/>
        <v>159.99999999999991</v>
      </c>
      <c r="I37" s="13">
        <f t="shared" si="1"/>
        <v>61.999999999999915</v>
      </c>
      <c r="J37">
        <f>SUMIF('Fact Downtime'!$A:$A,A37,'Fact Downtime'!$C:$C)</f>
        <v>62</v>
      </c>
      <c r="K37" s="13">
        <f t="shared" si="2"/>
        <v>-8.5265128291212022E-14</v>
      </c>
      <c r="L37" s="17">
        <f t="shared" si="3"/>
        <v>0.61250000000000038</v>
      </c>
      <c r="M37" s="17">
        <f t="shared" si="4"/>
        <v>0.38750000000000023</v>
      </c>
    </row>
    <row r="38" spans="1:13" x14ac:dyDescent="0.3">
      <c r="A38">
        <f>'Line productivity'!C38</f>
        <v>422147</v>
      </c>
      <c r="B38" s="15">
        <f>'Line productivity'!A38</f>
        <v>45537</v>
      </c>
      <c r="C38" t="str">
        <f>'Line productivity'!B38</f>
        <v>CO-2L</v>
      </c>
      <c r="D38" t="str">
        <f>'Line productivity'!D38</f>
        <v>Charlie</v>
      </c>
      <c r="E38" s="16">
        <f>'Line productivity'!E38</f>
        <v>0.8125</v>
      </c>
      <c r="F38" s="16">
        <f>'Line productivity'!F38</f>
        <v>0.95486111111111116</v>
      </c>
      <c r="G38">
        <f>_xlfn.XLOOKUP(C38,Products!$A$2:$A$7,Products!$D$2:$D$7,"Not Found")</f>
        <v>98</v>
      </c>
      <c r="H38" s="13">
        <f t="shared" si="0"/>
        <v>205.00000000000006</v>
      </c>
      <c r="I38" s="13">
        <f t="shared" si="1"/>
        <v>107.00000000000006</v>
      </c>
      <c r="J38">
        <f>SUMIF('Fact Downtime'!$A:$A,A38,'Fact Downtime'!$C:$C)</f>
        <v>107</v>
      </c>
      <c r="K38" s="13">
        <f t="shared" si="2"/>
        <v>0</v>
      </c>
      <c r="L38" s="17">
        <f t="shared" si="3"/>
        <v>0.47804878048780475</v>
      </c>
      <c r="M38" s="17">
        <f t="shared" si="4"/>
        <v>0.52195121951219503</v>
      </c>
    </row>
    <row r="39" spans="1:13" x14ac:dyDescent="0.3">
      <c r="A39">
        <f>'Line productivity'!C39</f>
        <v>422148</v>
      </c>
      <c r="B39" s="15">
        <f>'Line productivity'!A39</f>
        <v>45538</v>
      </c>
      <c r="C39" t="str">
        <f>'Line productivity'!B39</f>
        <v>CO-2L</v>
      </c>
      <c r="D39" t="str">
        <f>'Line productivity'!D39</f>
        <v>Mac</v>
      </c>
      <c r="E39" s="16">
        <f>'Line productivity'!E39</f>
        <v>0.95486111111111116</v>
      </c>
      <c r="F39" s="16">
        <f>'Line productivity'!F39</f>
        <v>1.0451388888888888</v>
      </c>
      <c r="G39">
        <f>_xlfn.XLOOKUP(C39,Products!$A$2:$A$7,Products!$D$2:$D$7,"Not Found")</f>
        <v>98</v>
      </c>
      <c r="H39" s="13">
        <f t="shared" si="0"/>
        <v>129.99999999999986</v>
      </c>
      <c r="I39" s="13">
        <f t="shared" si="1"/>
        <v>31.999999999999858</v>
      </c>
      <c r="J39">
        <f>SUMIF('Fact Downtime'!$A:$A,A39,'Fact Downtime'!$C:$C)</f>
        <v>32</v>
      </c>
      <c r="K39" s="13">
        <f t="shared" si="2"/>
        <v>-1.4210854715202004E-13</v>
      </c>
      <c r="L39" s="17">
        <f t="shared" si="3"/>
        <v>0.75384615384615472</v>
      </c>
      <c r="M39" s="17">
        <f t="shared" si="4"/>
        <v>0.24615384615384642</v>
      </c>
    </row>
    <row r="41" spans="1:13" x14ac:dyDescent="0.3">
      <c r="H41" s="13">
        <f>MAX(H2:H39)</f>
        <v>205.00000000000006</v>
      </c>
      <c r="I41" s="13">
        <f>SUM(I2:I39)</f>
        <v>1387.9999999999998</v>
      </c>
      <c r="J41" s="13">
        <f>SUM(J2:J39)</f>
        <v>1388</v>
      </c>
      <c r="L41" s="17">
        <f>AVERAGE(L2:L39)</f>
        <v>0.67076696575609596</v>
      </c>
    </row>
    <row r="42" spans="1:13" x14ac:dyDescent="0.3">
      <c r="H42" s="13">
        <f>MIN(H2:H39)</f>
        <v>59.999999999999943</v>
      </c>
      <c r="I42" s="13">
        <f>MIN(I2:I39)</f>
        <v>-5.6843418860808015E-14</v>
      </c>
      <c r="J42" s="13">
        <f>MIN(J2:J39)</f>
        <v>0</v>
      </c>
    </row>
    <row r="43" spans="1:13" x14ac:dyDescent="0.3">
      <c r="I43" s="13">
        <f>MAX(I2:I39)</f>
        <v>107.00000000000006</v>
      </c>
      <c r="J43" s="13">
        <f>MAX(J2:J39)</f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B8B8-1006-42CE-8EBF-D3069BF8B8E2}">
  <dimension ref="A3:E39"/>
  <sheetViews>
    <sheetView workbookViewId="0">
      <selection activeCell="B5" sqref="B5"/>
    </sheetView>
  </sheetViews>
  <sheetFormatPr defaultRowHeight="14.4" x14ac:dyDescent="0.3"/>
  <cols>
    <col min="1" max="1" width="21" bestFit="1" customWidth="1"/>
    <col min="2" max="2" width="24.6640625" bestFit="1" customWidth="1"/>
    <col min="3" max="3" width="11.109375" customWidth="1"/>
    <col min="4" max="4" width="11.44140625" bestFit="1" customWidth="1"/>
    <col min="5" max="5" width="29" bestFit="1" customWidth="1"/>
  </cols>
  <sheetData>
    <row r="3" spans="1:2" x14ac:dyDescent="0.3">
      <c r="A3" s="18" t="s">
        <v>115</v>
      </c>
      <c r="B3" t="s">
        <v>123</v>
      </c>
    </row>
    <row r="4" spans="1:2" x14ac:dyDescent="0.3">
      <c r="A4" t="s">
        <v>18</v>
      </c>
      <c r="B4" s="13">
        <v>332</v>
      </c>
    </row>
    <row r="5" spans="1:2" x14ac:dyDescent="0.3">
      <c r="A5" t="s">
        <v>19</v>
      </c>
      <c r="B5" s="13">
        <v>254</v>
      </c>
    </row>
    <row r="6" spans="1:2" x14ac:dyDescent="0.3">
      <c r="A6" t="s">
        <v>15</v>
      </c>
      <c r="B6" s="13">
        <v>225</v>
      </c>
    </row>
    <row r="7" spans="1:2" x14ac:dyDescent="0.3">
      <c r="A7" t="s">
        <v>11</v>
      </c>
      <c r="B7" s="13">
        <v>160</v>
      </c>
    </row>
    <row r="8" spans="1:2" x14ac:dyDescent="0.3">
      <c r="A8" t="s">
        <v>12</v>
      </c>
      <c r="B8" s="13">
        <v>145</v>
      </c>
    </row>
    <row r="9" spans="1:2" x14ac:dyDescent="0.3">
      <c r="A9" t="s">
        <v>20</v>
      </c>
      <c r="B9" s="13">
        <v>74</v>
      </c>
    </row>
    <row r="10" spans="1:2" x14ac:dyDescent="0.3">
      <c r="A10" t="s">
        <v>21</v>
      </c>
      <c r="B10" s="13">
        <v>57</v>
      </c>
    </row>
    <row r="11" spans="1:2" x14ac:dyDescent="0.3">
      <c r="A11" t="s">
        <v>13</v>
      </c>
      <c r="B11" s="13">
        <v>49</v>
      </c>
    </row>
    <row r="12" spans="1:2" x14ac:dyDescent="0.3">
      <c r="A12" t="s">
        <v>17</v>
      </c>
      <c r="B12" s="13">
        <v>42</v>
      </c>
    </row>
    <row r="13" spans="1:2" x14ac:dyDescent="0.3">
      <c r="A13" t="s">
        <v>16</v>
      </c>
      <c r="B13" s="13">
        <v>33</v>
      </c>
    </row>
    <row r="14" spans="1:2" x14ac:dyDescent="0.3">
      <c r="A14" t="s">
        <v>14</v>
      </c>
      <c r="B14" s="13">
        <v>17</v>
      </c>
    </row>
    <row r="15" spans="1:2" x14ac:dyDescent="0.3">
      <c r="A15" t="s">
        <v>124</v>
      </c>
      <c r="B15" s="13">
        <v>1388</v>
      </c>
    </row>
    <row r="19" spans="1:5" x14ac:dyDescent="0.3">
      <c r="A19" s="18" t="s">
        <v>55</v>
      </c>
      <c r="B19" t="s">
        <v>123</v>
      </c>
      <c r="C19" t="s">
        <v>125</v>
      </c>
      <c r="D19" t="s">
        <v>126</v>
      </c>
      <c r="E19" t="s">
        <v>127</v>
      </c>
    </row>
    <row r="20" spans="1:5" x14ac:dyDescent="0.3">
      <c r="A20" t="s">
        <v>57</v>
      </c>
      <c r="B20" s="13">
        <v>612</v>
      </c>
      <c r="C20" s="17">
        <v>0.44092219020172913</v>
      </c>
      <c r="D20">
        <v>29</v>
      </c>
      <c r="E20" s="13">
        <v>21.103448275862068</v>
      </c>
    </row>
    <row r="21" spans="1:5" x14ac:dyDescent="0.3">
      <c r="A21" t="s">
        <v>58</v>
      </c>
      <c r="B21" s="13">
        <v>776</v>
      </c>
      <c r="C21" s="17">
        <v>0.55907780979827093</v>
      </c>
      <c r="D21">
        <v>32</v>
      </c>
      <c r="E21" s="13">
        <v>24.25</v>
      </c>
    </row>
    <row r="22" spans="1:5" x14ac:dyDescent="0.3">
      <c r="A22" t="s">
        <v>124</v>
      </c>
      <c r="B22" s="13">
        <v>1388</v>
      </c>
      <c r="C22" s="17">
        <v>1</v>
      </c>
      <c r="D22">
        <v>61</v>
      </c>
      <c r="E22" s="13">
        <v>22.754098360655739</v>
      </c>
    </row>
    <row r="25" spans="1:5" x14ac:dyDescent="0.3">
      <c r="A25" t="s">
        <v>128</v>
      </c>
    </row>
    <row r="26" spans="1:5" x14ac:dyDescent="0.3">
      <c r="A26" s="18" t="s">
        <v>123</v>
      </c>
      <c r="B26" s="18" t="s">
        <v>55</v>
      </c>
    </row>
    <row r="27" spans="1:5" x14ac:dyDescent="0.3">
      <c r="A27" s="18" t="s">
        <v>115</v>
      </c>
      <c r="B27" t="s">
        <v>58</v>
      </c>
      <c r="C27" t="s">
        <v>57</v>
      </c>
      <c r="D27" t="s">
        <v>124</v>
      </c>
    </row>
    <row r="28" spans="1:5" x14ac:dyDescent="0.3">
      <c r="A28" t="s">
        <v>18</v>
      </c>
      <c r="B28" s="13">
        <v>332</v>
      </c>
      <c r="C28" s="13"/>
      <c r="D28" s="13">
        <v>332</v>
      </c>
    </row>
    <row r="29" spans="1:5" x14ac:dyDescent="0.3">
      <c r="A29" t="s">
        <v>19</v>
      </c>
      <c r="B29" s="13"/>
      <c r="C29" s="13">
        <v>254</v>
      </c>
      <c r="D29" s="13">
        <v>254</v>
      </c>
    </row>
    <row r="30" spans="1:5" x14ac:dyDescent="0.3">
      <c r="A30" t="s">
        <v>15</v>
      </c>
      <c r="B30" s="13"/>
      <c r="C30" s="13">
        <v>225</v>
      </c>
      <c r="D30" s="13">
        <v>225</v>
      </c>
    </row>
    <row r="31" spans="1:5" x14ac:dyDescent="0.3">
      <c r="A31" t="s">
        <v>11</v>
      </c>
      <c r="B31" s="13">
        <v>160</v>
      </c>
      <c r="C31" s="13"/>
      <c r="D31" s="13">
        <v>160</v>
      </c>
    </row>
    <row r="32" spans="1:5" x14ac:dyDescent="0.3">
      <c r="A32" t="s">
        <v>12</v>
      </c>
      <c r="B32" s="13">
        <v>145</v>
      </c>
      <c r="C32" s="13"/>
      <c r="D32" s="13">
        <v>145</v>
      </c>
    </row>
    <row r="33" spans="1:4" x14ac:dyDescent="0.3">
      <c r="A33" t="s">
        <v>20</v>
      </c>
      <c r="B33" s="13"/>
      <c r="C33" s="13">
        <v>74</v>
      </c>
      <c r="D33" s="13">
        <v>74</v>
      </c>
    </row>
    <row r="34" spans="1:4" x14ac:dyDescent="0.3">
      <c r="A34" t="s">
        <v>21</v>
      </c>
      <c r="B34" s="13">
        <v>57</v>
      </c>
      <c r="C34" s="13"/>
      <c r="D34" s="13">
        <v>57</v>
      </c>
    </row>
    <row r="35" spans="1:4" x14ac:dyDescent="0.3">
      <c r="A35" t="s">
        <v>13</v>
      </c>
      <c r="B35" s="13">
        <v>49</v>
      </c>
      <c r="C35" s="13"/>
      <c r="D35" s="13">
        <v>49</v>
      </c>
    </row>
    <row r="36" spans="1:4" x14ac:dyDescent="0.3">
      <c r="A36" t="s">
        <v>17</v>
      </c>
      <c r="B36" s="13"/>
      <c r="C36" s="13">
        <v>42</v>
      </c>
      <c r="D36" s="13">
        <v>42</v>
      </c>
    </row>
    <row r="37" spans="1:4" x14ac:dyDescent="0.3">
      <c r="A37" t="s">
        <v>16</v>
      </c>
      <c r="B37" s="13">
        <v>33</v>
      </c>
      <c r="C37" s="13"/>
      <c r="D37" s="13">
        <v>33</v>
      </c>
    </row>
    <row r="38" spans="1:4" x14ac:dyDescent="0.3">
      <c r="A38" t="s">
        <v>14</v>
      </c>
      <c r="B38" s="13"/>
      <c r="C38" s="13">
        <v>17</v>
      </c>
      <c r="D38" s="13">
        <v>17</v>
      </c>
    </row>
    <row r="39" spans="1:4" x14ac:dyDescent="0.3">
      <c r="A39" t="s">
        <v>124</v>
      </c>
      <c r="B39" s="13">
        <v>776</v>
      </c>
      <c r="C39" s="13">
        <v>612</v>
      </c>
      <c r="D39" s="13">
        <v>1388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8592-D407-444E-B200-3F314EC6A9B2}">
  <dimension ref="A3:M21"/>
  <sheetViews>
    <sheetView workbookViewId="0">
      <selection activeCell="A10" sqref="A10"/>
    </sheetView>
  </sheetViews>
  <sheetFormatPr defaultRowHeight="14.4" x14ac:dyDescent="0.3"/>
  <cols>
    <col min="1" max="1" width="12.33203125" customWidth="1"/>
    <col min="2" max="2" width="14.44140625" bestFit="1" customWidth="1"/>
    <col min="3" max="3" width="24" bestFit="1" customWidth="1"/>
    <col min="4" max="4" width="34" bestFit="1" customWidth="1"/>
    <col min="5" max="5" width="17.44140625" customWidth="1"/>
    <col min="6" max="6" width="17.88671875" bestFit="1" customWidth="1"/>
    <col min="7" max="7" width="12.33203125" bestFit="1" customWidth="1"/>
    <col min="8" max="8" width="13.5546875" bestFit="1" customWidth="1"/>
    <col min="9" max="9" width="19.5546875" bestFit="1" customWidth="1"/>
    <col min="10" max="10" width="15" bestFit="1" customWidth="1"/>
    <col min="11" max="11" width="6.109375" bestFit="1" customWidth="1"/>
    <col min="12" max="12" width="12.33203125" bestFit="1" customWidth="1"/>
    <col min="13" max="13" width="11.44140625" bestFit="1" customWidth="1"/>
  </cols>
  <sheetData>
    <row r="3" spans="1:13" x14ac:dyDescent="0.3">
      <c r="A3" s="18" t="s">
        <v>34</v>
      </c>
      <c r="B3" t="s">
        <v>129</v>
      </c>
      <c r="C3" t="s">
        <v>130</v>
      </c>
      <c r="D3" t="s">
        <v>131</v>
      </c>
      <c r="E3" t="s">
        <v>132</v>
      </c>
    </row>
    <row r="4" spans="1:13" x14ac:dyDescent="0.3">
      <c r="A4" t="s">
        <v>22</v>
      </c>
      <c r="B4">
        <v>11</v>
      </c>
      <c r="C4" s="13">
        <v>1158</v>
      </c>
      <c r="D4">
        <v>384</v>
      </c>
      <c r="E4" s="17">
        <f>D4/C4</f>
        <v>0.33160621761658032</v>
      </c>
    </row>
    <row r="5" spans="1:13" x14ac:dyDescent="0.3">
      <c r="A5" t="s">
        <v>23</v>
      </c>
      <c r="B5">
        <v>11</v>
      </c>
      <c r="C5" s="13">
        <v>1030</v>
      </c>
      <c r="D5">
        <v>370</v>
      </c>
      <c r="E5" s="17">
        <f t="shared" ref="E5:E7" si="0">D5/C5</f>
        <v>0.35922330097087379</v>
      </c>
    </row>
    <row r="6" spans="1:13" x14ac:dyDescent="0.3">
      <c r="A6" t="s">
        <v>24</v>
      </c>
      <c r="B6">
        <v>8</v>
      </c>
      <c r="C6" s="13">
        <v>820</v>
      </c>
      <c r="D6">
        <v>302</v>
      </c>
      <c r="E6" s="17">
        <f t="shared" si="0"/>
        <v>0.36829268292682926</v>
      </c>
    </row>
    <row r="7" spans="1:13" x14ac:dyDescent="0.3">
      <c r="A7" t="s">
        <v>25</v>
      </c>
      <c r="B7">
        <v>8</v>
      </c>
      <c r="C7" s="13">
        <v>849.99999999999989</v>
      </c>
      <c r="D7">
        <v>332</v>
      </c>
      <c r="E7" s="17">
        <f t="shared" si="0"/>
        <v>0.39058823529411768</v>
      </c>
    </row>
    <row r="8" spans="1:13" x14ac:dyDescent="0.3">
      <c r="A8" t="s">
        <v>124</v>
      </c>
      <c r="B8">
        <v>38</v>
      </c>
      <c r="C8" s="13">
        <v>3858</v>
      </c>
      <c r="D8">
        <v>1388</v>
      </c>
    </row>
    <row r="13" spans="1:13" x14ac:dyDescent="0.3">
      <c r="A13" s="18" t="s">
        <v>123</v>
      </c>
      <c r="B13" s="18" t="s">
        <v>115</v>
      </c>
    </row>
    <row r="14" spans="1:13" x14ac:dyDescent="0.3">
      <c r="A14" s="18" t="s">
        <v>34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124</v>
      </c>
    </row>
    <row r="15" spans="1:13" x14ac:dyDescent="0.3">
      <c r="A15" t="s">
        <v>22</v>
      </c>
      <c r="B15" s="13">
        <v>10</v>
      </c>
      <c r="C15" s="13">
        <v>44</v>
      </c>
      <c r="D15" s="13">
        <v>24</v>
      </c>
      <c r="E15" s="13"/>
      <c r="F15" s="13">
        <v>17</v>
      </c>
      <c r="G15" s="13">
        <v>10</v>
      </c>
      <c r="H15" s="13">
        <v>22</v>
      </c>
      <c r="I15" s="13">
        <v>118</v>
      </c>
      <c r="J15" s="13">
        <v>85</v>
      </c>
      <c r="K15" s="13">
        <v>32</v>
      </c>
      <c r="L15" s="13">
        <v>22</v>
      </c>
      <c r="M15" s="13">
        <v>384</v>
      </c>
    </row>
    <row r="16" spans="1:13" x14ac:dyDescent="0.3">
      <c r="A16" t="s">
        <v>23</v>
      </c>
      <c r="B16" s="13">
        <v>20</v>
      </c>
      <c r="C16" s="13">
        <v>30</v>
      </c>
      <c r="D16" s="13">
        <v>25</v>
      </c>
      <c r="E16" s="13">
        <v>17</v>
      </c>
      <c r="F16" s="13">
        <v>85</v>
      </c>
      <c r="G16" s="13">
        <v>23</v>
      </c>
      <c r="H16" s="13">
        <v>20</v>
      </c>
      <c r="I16" s="13">
        <v>79</v>
      </c>
      <c r="J16" s="13">
        <v>36</v>
      </c>
      <c r="K16" s="13">
        <v>20</v>
      </c>
      <c r="L16" s="13">
        <v>15</v>
      </c>
      <c r="M16" s="13">
        <v>370</v>
      </c>
    </row>
    <row r="17" spans="1:13" x14ac:dyDescent="0.3">
      <c r="A17" t="s">
        <v>24</v>
      </c>
      <c r="B17" s="13"/>
      <c r="C17" s="13">
        <v>24</v>
      </c>
      <c r="D17" s="13"/>
      <c r="E17" s="13"/>
      <c r="F17" s="13">
        <v>43</v>
      </c>
      <c r="G17" s="13"/>
      <c r="H17" s="13"/>
      <c r="I17" s="13">
        <v>120</v>
      </c>
      <c r="J17" s="13">
        <v>88</v>
      </c>
      <c r="K17" s="13">
        <v>7</v>
      </c>
      <c r="L17" s="13">
        <v>20</v>
      </c>
      <c r="M17" s="13">
        <v>302</v>
      </c>
    </row>
    <row r="18" spans="1:13" x14ac:dyDescent="0.3">
      <c r="A18" t="s">
        <v>25</v>
      </c>
      <c r="B18" s="13">
        <v>130</v>
      </c>
      <c r="C18" s="13">
        <v>47</v>
      </c>
      <c r="D18" s="13"/>
      <c r="E18" s="13"/>
      <c r="F18" s="13">
        <v>80</v>
      </c>
      <c r="G18" s="13"/>
      <c r="H18" s="13"/>
      <c r="I18" s="13">
        <v>15</v>
      </c>
      <c r="J18" s="13">
        <v>45</v>
      </c>
      <c r="K18" s="13">
        <v>15</v>
      </c>
      <c r="L18" s="13"/>
      <c r="M18" s="13">
        <v>332</v>
      </c>
    </row>
    <row r="19" spans="1:13" x14ac:dyDescent="0.3">
      <c r="A19" t="s">
        <v>124</v>
      </c>
      <c r="B19" s="13">
        <v>160</v>
      </c>
      <c r="C19" s="13">
        <v>145</v>
      </c>
      <c r="D19" s="13">
        <v>49</v>
      </c>
      <c r="E19" s="13">
        <v>17</v>
      </c>
      <c r="F19" s="13">
        <v>225</v>
      </c>
      <c r="G19" s="13">
        <v>33</v>
      </c>
      <c r="H19" s="13">
        <v>42</v>
      </c>
      <c r="I19" s="13">
        <v>332</v>
      </c>
      <c r="J19" s="13">
        <v>254</v>
      </c>
      <c r="K19" s="13">
        <v>74</v>
      </c>
      <c r="L19" s="13">
        <v>57</v>
      </c>
      <c r="M19" s="13">
        <v>1388</v>
      </c>
    </row>
    <row r="21" spans="1:13" x14ac:dyDescent="0.3">
      <c r="A21" t="s">
        <v>133</v>
      </c>
    </row>
  </sheetData>
  <conditionalFormatting pivot="1" sqref="B15:L18">
    <cfRule type="cellIs" dxfId="6" priority="3" operator="greaterThanOrEqual">
      <formula>100</formula>
    </cfRule>
  </conditionalFormatting>
  <conditionalFormatting pivot="1" sqref="B15:L18">
    <cfRule type="cellIs" dxfId="5" priority="2" operator="between">
      <formula>50</formula>
      <formula>99</formula>
    </cfRule>
  </conditionalFormatting>
  <conditionalFormatting pivot="1" sqref="B15:L18">
    <cfRule type="cellIs" dxfId="4" priority="1" operator="between">
      <formula>1</formula>
      <formula>49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6144-E9DE-4788-BC97-1877B64040C1}">
  <dimension ref="A1:G12"/>
  <sheetViews>
    <sheetView workbookViewId="0">
      <selection activeCell="B16" sqref="B16"/>
    </sheetView>
  </sheetViews>
  <sheetFormatPr defaultRowHeight="14.4" x14ac:dyDescent="0.3"/>
  <cols>
    <col min="1" max="1" width="11.44140625" bestFit="1" customWidth="1"/>
    <col min="2" max="2" width="14.44140625" bestFit="1" customWidth="1"/>
    <col min="3" max="3" width="24" bestFit="1" customWidth="1"/>
    <col min="4" max="4" width="21.5546875" bestFit="1" customWidth="1"/>
    <col min="5" max="5" width="34" bestFit="1" customWidth="1"/>
    <col min="6" max="6" width="13.109375" customWidth="1"/>
    <col min="7" max="7" width="11.6640625" customWidth="1"/>
  </cols>
  <sheetData>
    <row r="1" spans="1:7" x14ac:dyDescent="0.3">
      <c r="A1" s="19" t="s">
        <v>134</v>
      </c>
    </row>
    <row r="3" spans="1:7" x14ac:dyDescent="0.3">
      <c r="A3" s="18" t="s">
        <v>32</v>
      </c>
      <c r="B3" t="s">
        <v>129</v>
      </c>
      <c r="C3" t="s">
        <v>130</v>
      </c>
      <c r="D3" t="s">
        <v>135</v>
      </c>
      <c r="E3" t="s">
        <v>131</v>
      </c>
      <c r="F3" t="s">
        <v>136</v>
      </c>
      <c r="G3" t="s">
        <v>121</v>
      </c>
    </row>
    <row r="4" spans="1:7" x14ac:dyDescent="0.3">
      <c r="A4" t="s">
        <v>42</v>
      </c>
      <c r="B4">
        <v>5</v>
      </c>
      <c r="C4" s="13">
        <v>767.00000000000011</v>
      </c>
      <c r="D4">
        <v>490</v>
      </c>
      <c r="E4">
        <v>277</v>
      </c>
      <c r="F4" s="17">
        <f>E4/C4</f>
        <v>0.3611473272490221</v>
      </c>
      <c r="G4" s="17">
        <f>D4/C4</f>
        <v>0.63885267275097779</v>
      </c>
    </row>
    <row r="5" spans="1:7" x14ac:dyDescent="0.3">
      <c r="A5" t="s">
        <v>39</v>
      </c>
      <c r="B5">
        <v>15</v>
      </c>
      <c r="C5" s="13">
        <v>1394</v>
      </c>
      <c r="D5">
        <v>900</v>
      </c>
      <c r="E5">
        <v>494</v>
      </c>
      <c r="F5" s="17">
        <f t="shared" ref="F5:F9" si="0">E5/C5</f>
        <v>0.35437589670014347</v>
      </c>
      <c r="G5" s="17">
        <f t="shared" ref="G5:G9" si="1">D5/C5</f>
        <v>0.64562410329985653</v>
      </c>
    </row>
    <row r="6" spans="1:7" x14ac:dyDescent="0.3">
      <c r="A6" t="s">
        <v>40</v>
      </c>
      <c r="B6">
        <v>4</v>
      </c>
      <c r="C6" s="13">
        <v>354.99999999999994</v>
      </c>
      <c r="D6">
        <v>240</v>
      </c>
      <c r="E6">
        <v>115</v>
      </c>
      <c r="F6" s="17">
        <f t="shared" si="0"/>
        <v>0.32394366197183105</v>
      </c>
      <c r="G6" s="17">
        <f t="shared" si="1"/>
        <v>0.67605633802816911</v>
      </c>
    </row>
    <row r="7" spans="1:7" x14ac:dyDescent="0.3">
      <c r="A7" t="s">
        <v>38</v>
      </c>
      <c r="B7">
        <v>6</v>
      </c>
      <c r="C7" s="13">
        <v>528.99999999999989</v>
      </c>
      <c r="D7">
        <v>360</v>
      </c>
      <c r="E7">
        <v>169</v>
      </c>
      <c r="F7" s="17">
        <f t="shared" si="0"/>
        <v>0.3194706994328923</v>
      </c>
      <c r="G7" s="17">
        <f t="shared" si="1"/>
        <v>0.68052930056710792</v>
      </c>
    </row>
    <row r="8" spans="1:7" x14ac:dyDescent="0.3">
      <c r="A8" t="s">
        <v>37</v>
      </c>
      <c r="B8">
        <v>1</v>
      </c>
      <c r="C8" s="13">
        <v>135</v>
      </c>
      <c r="D8">
        <v>60</v>
      </c>
      <c r="E8">
        <v>75</v>
      </c>
      <c r="F8" s="17">
        <f t="shared" si="0"/>
        <v>0.55555555555555558</v>
      </c>
      <c r="G8" s="17">
        <f t="shared" si="1"/>
        <v>0.44444444444444442</v>
      </c>
    </row>
    <row r="9" spans="1:7" x14ac:dyDescent="0.3">
      <c r="A9" t="s">
        <v>41</v>
      </c>
      <c r="B9">
        <v>7</v>
      </c>
      <c r="C9" s="13">
        <v>677.99999999999989</v>
      </c>
      <c r="D9">
        <v>420</v>
      </c>
      <c r="E9">
        <v>258</v>
      </c>
      <c r="F9" s="17">
        <f t="shared" si="0"/>
        <v>0.38053097345132747</v>
      </c>
      <c r="G9" s="17">
        <f t="shared" si="1"/>
        <v>0.61946902654867264</v>
      </c>
    </row>
    <row r="10" spans="1:7" x14ac:dyDescent="0.3">
      <c r="A10" t="s">
        <v>124</v>
      </c>
      <c r="B10">
        <v>38</v>
      </c>
      <c r="C10" s="13">
        <v>3858</v>
      </c>
      <c r="D10">
        <v>2470</v>
      </c>
      <c r="E10">
        <v>1388</v>
      </c>
    </row>
    <row r="12" spans="1:7" x14ac:dyDescent="0.3">
      <c r="A12" t="s">
        <v>137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F281-D950-487A-BF8A-F680BD345E4F}">
  <dimension ref="A1:G11"/>
  <sheetViews>
    <sheetView topLeftCell="B1" workbookViewId="0">
      <selection activeCell="C17" sqref="C17"/>
    </sheetView>
  </sheetViews>
  <sheetFormatPr defaultRowHeight="14.4" x14ac:dyDescent="0.3"/>
  <cols>
    <col min="1" max="1" width="11.44140625" bestFit="1" customWidth="1"/>
    <col min="2" max="2" width="14.44140625" bestFit="1" customWidth="1"/>
    <col min="3" max="3" width="24" bestFit="1" customWidth="1"/>
    <col min="4" max="4" width="34" bestFit="1" customWidth="1"/>
    <col min="5" max="5" width="34" customWidth="1"/>
    <col min="6" max="6" width="12.33203125" customWidth="1"/>
    <col min="7" max="7" width="15.88671875" customWidth="1"/>
  </cols>
  <sheetData>
    <row r="1" spans="1:7" x14ac:dyDescent="0.3">
      <c r="A1" t="s">
        <v>138</v>
      </c>
    </row>
    <row r="3" spans="1:7" x14ac:dyDescent="0.3">
      <c r="A3" s="18" t="s">
        <v>31</v>
      </c>
      <c r="B3" t="s">
        <v>129</v>
      </c>
      <c r="C3" t="s">
        <v>130</v>
      </c>
      <c r="D3" t="s">
        <v>135</v>
      </c>
      <c r="E3" t="s">
        <v>131</v>
      </c>
      <c r="F3" t="s">
        <v>136</v>
      </c>
      <c r="G3" t="s">
        <v>121</v>
      </c>
    </row>
    <row r="4" spans="1:7" x14ac:dyDescent="0.3">
      <c r="A4" s="15">
        <v>45533</v>
      </c>
      <c r="B4">
        <v>7</v>
      </c>
      <c r="C4" s="13">
        <v>663.99999999999977</v>
      </c>
      <c r="D4">
        <v>420</v>
      </c>
      <c r="E4">
        <v>244</v>
      </c>
      <c r="F4" s="17">
        <f>D4/C4</f>
        <v>0.63253012048192792</v>
      </c>
      <c r="G4" s="17">
        <f>D4/C4</f>
        <v>0.63253012048192792</v>
      </c>
    </row>
    <row r="5" spans="1:7" x14ac:dyDescent="0.3">
      <c r="A5" s="15">
        <v>45534</v>
      </c>
      <c r="B5">
        <v>12</v>
      </c>
      <c r="C5" s="13">
        <v>1164</v>
      </c>
      <c r="D5">
        <v>720</v>
      </c>
      <c r="E5">
        <v>444</v>
      </c>
      <c r="F5" s="17">
        <f t="shared" ref="F5:F8" si="0">D5/C5</f>
        <v>0.61855670103092786</v>
      </c>
      <c r="G5" s="17">
        <f t="shared" ref="G5:G8" si="1">D5/C5</f>
        <v>0.61855670103092786</v>
      </c>
    </row>
    <row r="6" spans="1:7" x14ac:dyDescent="0.3">
      <c r="A6" s="15">
        <v>45535</v>
      </c>
      <c r="B6">
        <v>7</v>
      </c>
      <c r="C6" s="13">
        <v>585</v>
      </c>
      <c r="D6">
        <v>420</v>
      </c>
      <c r="E6">
        <v>165</v>
      </c>
      <c r="F6" s="17">
        <f t="shared" si="0"/>
        <v>0.71794871794871795</v>
      </c>
      <c r="G6" s="17">
        <f t="shared" si="1"/>
        <v>0.71794871794871795</v>
      </c>
    </row>
    <row r="7" spans="1:7" x14ac:dyDescent="0.3">
      <c r="A7" s="15">
        <v>45537</v>
      </c>
      <c r="B7">
        <v>11</v>
      </c>
      <c r="C7" s="13">
        <v>1315</v>
      </c>
      <c r="D7">
        <v>812</v>
      </c>
      <c r="E7">
        <v>503</v>
      </c>
      <c r="F7" s="17">
        <f t="shared" si="0"/>
        <v>0.61749049429657799</v>
      </c>
      <c r="G7" s="17">
        <f t="shared" si="1"/>
        <v>0.61749049429657799</v>
      </c>
    </row>
    <row r="8" spans="1:7" x14ac:dyDescent="0.3">
      <c r="A8" s="15">
        <v>45538</v>
      </c>
      <c r="B8">
        <v>1</v>
      </c>
      <c r="C8" s="13">
        <v>129.99999999999986</v>
      </c>
      <c r="D8">
        <v>98</v>
      </c>
      <c r="E8">
        <v>32</v>
      </c>
      <c r="F8" s="17">
        <f t="shared" si="0"/>
        <v>0.75384615384615472</v>
      </c>
      <c r="G8" s="17">
        <f t="shared" si="1"/>
        <v>0.75384615384615472</v>
      </c>
    </row>
    <row r="9" spans="1:7" x14ac:dyDescent="0.3">
      <c r="A9" s="15" t="s">
        <v>124</v>
      </c>
      <c r="B9">
        <v>38</v>
      </c>
      <c r="C9" s="13">
        <v>3857.9999999999995</v>
      </c>
      <c r="D9">
        <v>2470</v>
      </c>
      <c r="E9">
        <v>1388</v>
      </c>
    </row>
    <row r="11" spans="1:7" x14ac:dyDescent="0.3">
      <c r="A11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B534-039D-41AA-94E3-E6BEC270E7B9}">
  <dimension ref="A1:D40"/>
  <sheetViews>
    <sheetView workbookViewId="0">
      <selection activeCell="E23" sqref="E23"/>
    </sheetView>
  </sheetViews>
  <sheetFormatPr defaultRowHeight="14.4" x14ac:dyDescent="0.3"/>
  <cols>
    <col min="1" max="1" width="23.44140625" customWidth="1"/>
    <col min="2" max="2" width="13.5546875" customWidth="1"/>
    <col min="3" max="3" width="10.88671875" customWidth="1"/>
  </cols>
  <sheetData>
    <row r="1" spans="1:3" x14ac:dyDescent="0.3">
      <c r="A1" t="s">
        <v>140</v>
      </c>
      <c r="B1" s="17">
        <f>B2/B3</f>
        <v>0.64022809745982379</v>
      </c>
      <c r="C1" s="17">
        <f>SUM('Production Analysis'!G2:G39)/SUM('Production Analysis'!H2:H39)</f>
        <v>0.64022809745982379</v>
      </c>
    </row>
    <row r="2" spans="1:3" x14ac:dyDescent="0.3">
      <c r="A2" t="s">
        <v>141</v>
      </c>
      <c r="B2">
        <f>SUM('Production Analysis'!G2:G39)</f>
        <v>2470</v>
      </c>
    </row>
    <row r="3" spans="1:3" x14ac:dyDescent="0.3">
      <c r="A3" s="68" t="s">
        <v>142</v>
      </c>
      <c r="B3" s="13">
        <f>SUM('Production Analysis'!H2:H39)</f>
        <v>3857.9999999999995</v>
      </c>
    </row>
    <row r="5" spans="1:3" x14ac:dyDescent="0.3">
      <c r="A5" t="s">
        <v>143</v>
      </c>
      <c r="B5">
        <f>SUM('Production Analysis'!J2:J39)</f>
        <v>1388</v>
      </c>
    </row>
    <row r="6" spans="1:3" x14ac:dyDescent="0.3">
      <c r="A6" t="s">
        <v>144</v>
      </c>
      <c r="B6" s="17">
        <f>AVERAGE('Production Analysis'!L2:L39)</f>
        <v>0.67076696575609596</v>
      </c>
      <c r="C6" s="17">
        <f>AVERAGE('Production Analysis'!L2:L39)</f>
        <v>0.67076696575609596</v>
      </c>
    </row>
    <row r="8" spans="1:3" x14ac:dyDescent="0.3">
      <c r="A8" t="s">
        <v>145</v>
      </c>
      <c r="B8" s="17">
        <f>SUM('Production Analysis'!J2:J39)/SUM('Production Analysis'!H2:H39)</f>
        <v>0.35977190254017632</v>
      </c>
      <c r="C8" s="17">
        <f>B5/B3</f>
        <v>0.35977190254017632</v>
      </c>
    </row>
    <row r="9" spans="1:3" x14ac:dyDescent="0.3">
      <c r="A9" t="s">
        <v>146</v>
      </c>
      <c r="B9">
        <v>38</v>
      </c>
    </row>
    <row r="10" spans="1:3" x14ac:dyDescent="0.3">
      <c r="A10" s="7"/>
      <c r="B10" s="7"/>
    </row>
    <row r="11" spans="1:3" x14ac:dyDescent="0.3">
      <c r="A11" s="21" t="s">
        <v>34</v>
      </c>
      <c r="B11" s="21" t="s">
        <v>132</v>
      </c>
      <c r="C11" s="7"/>
    </row>
    <row r="12" spans="1:3" x14ac:dyDescent="0.3">
      <c r="A12" s="20" t="s">
        <v>25</v>
      </c>
      <c r="B12" s="22">
        <v>0.3906</v>
      </c>
      <c r="C12" s="7"/>
    </row>
    <row r="13" spans="1:3" x14ac:dyDescent="0.3">
      <c r="A13" s="20" t="s">
        <v>24</v>
      </c>
      <c r="B13" s="22">
        <v>0.36830000000000002</v>
      </c>
      <c r="C13" s="7"/>
    </row>
    <row r="14" spans="1:3" x14ac:dyDescent="0.3">
      <c r="A14" s="20" t="s">
        <v>23</v>
      </c>
      <c r="B14" s="22">
        <v>0.35920000000000002</v>
      </c>
      <c r="C14" s="7"/>
    </row>
    <row r="15" spans="1:3" x14ac:dyDescent="0.3">
      <c r="A15" s="20" t="s">
        <v>22</v>
      </c>
      <c r="B15" s="22">
        <v>0.33160000000000001</v>
      </c>
      <c r="C15" s="7"/>
    </row>
    <row r="16" spans="1:3" x14ac:dyDescent="0.3">
      <c r="A16" s="7"/>
      <c r="B16" s="7"/>
    </row>
    <row r="17" spans="1:4" s="19" customFormat="1" x14ac:dyDescent="0.3">
      <c r="A17" s="67" t="str" cm="1">
        <f t="array" ref="A17:A22">'EDA Time'!A3:A8</f>
        <v>Date</v>
      </c>
      <c r="B17" s="67" t="s">
        <v>31</v>
      </c>
      <c r="C17" s="67" t="str" cm="1">
        <f t="array" ref="C17:C22">'EDA Time'!G3:G8</f>
        <v>Efficiency%</v>
      </c>
      <c r="D17" s="8"/>
    </row>
    <row r="18" spans="1:4" x14ac:dyDescent="0.3">
      <c r="A18" s="74">
        <v>45533</v>
      </c>
      <c r="B18" s="25" t="str">
        <f>TEXT(A18,"m/d/yyyy")</f>
        <v>8/29/2024</v>
      </c>
      <c r="C18" s="26">
        <v>0.63253012048192792</v>
      </c>
      <c r="D18" s="7"/>
    </row>
    <row r="19" spans="1:4" x14ac:dyDescent="0.3">
      <c r="A19" s="74">
        <v>45534</v>
      </c>
      <c r="B19" s="25" t="str">
        <f t="shared" ref="B19:B22" si="0">TEXT(A19,"m/d/yyyy")</f>
        <v>8/30/2024</v>
      </c>
      <c r="C19" s="26">
        <v>0.61855670103092786</v>
      </c>
      <c r="D19" s="7"/>
    </row>
    <row r="20" spans="1:4" x14ac:dyDescent="0.3">
      <c r="A20" s="74">
        <v>45535</v>
      </c>
      <c r="B20" s="25" t="str">
        <f t="shared" si="0"/>
        <v>8/31/2024</v>
      </c>
      <c r="C20" s="26">
        <v>0.71794871794871795</v>
      </c>
      <c r="D20" s="7"/>
    </row>
    <row r="21" spans="1:4" x14ac:dyDescent="0.3">
      <c r="A21" s="74">
        <v>45537</v>
      </c>
      <c r="B21" s="25" t="str">
        <f t="shared" si="0"/>
        <v>9/2/2024</v>
      </c>
      <c r="C21" s="26">
        <v>0.61749049429657799</v>
      </c>
      <c r="D21" s="7"/>
    </row>
    <row r="22" spans="1:4" x14ac:dyDescent="0.3">
      <c r="A22" s="74">
        <v>45538</v>
      </c>
      <c r="B22" s="25" t="str">
        <f t="shared" si="0"/>
        <v>9/3/2024</v>
      </c>
      <c r="C22" s="26">
        <v>0.75384615384615472</v>
      </c>
      <c r="D22" s="7"/>
    </row>
    <row r="23" spans="1:4" x14ac:dyDescent="0.3">
      <c r="A23" s="7"/>
      <c r="B23" s="7"/>
    </row>
    <row r="25" spans="1:4" s="19" customFormat="1" x14ac:dyDescent="0.3">
      <c r="A25" s="19" t="str" cm="1">
        <f t="array" ref="A25:A31">'EDA Product Performance'!A3:A9</f>
        <v>Product</v>
      </c>
      <c r="B25" s="19" t="str" cm="1">
        <f t="array" ref="B25:B31">'EDA Product Performance'!G3:G9</f>
        <v>Efficiency%</v>
      </c>
      <c r="C25" s="19" t="str" cm="1">
        <f t="array" ref="C25:C31">'EDA Product Performance'!F3:F9</f>
        <v>Downtime%</v>
      </c>
    </row>
    <row r="26" spans="1:4" x14ac:dyDescent="0.3">
      <c r="A26" t="str">
        <v>CO-2L</v>
      </c>
      <c r="B26" s="17">
        <v>0.63885267275097779</v>
      </c>
      <c r="C26" s="17">
        <v>0.3611473272490221</v>
      </c>
    </row>
    <row r="27" spans="1:4" x14ac:dyDescent="0.3">
      <c r="A27" t="str">
        <v>CO-600</v>
      </c>
      <c r="B27" s="17">
        <v>0.64562410329985653</v>
      </c>
      <c r="C27" s="17">
        <v>0.35437589670014347</v>
      </c>
    </row>
    <row r="28" spans="1:4" x14ac:dyDescent="0.3">
      <c r="A28" t="str">
        <v>DC-600</v>
      </c>
      <c r="B28" s="17">
        <v>0.67605633802816911</v>
      </c>
      <c r="C28" s="17">
        <v>0.32394366197183105</v>
      </c>
    </row>
    <row r="29" spans="1:4" x14ac:dyDescent="0.3">
      <c r="A29" t="str">
        <v>LE-600</v>
      </c>
      <c r="B29" s="17">
        <v>0.68052930056710792</v>
      </c>
      <c r="C29" s="17">
        <v>0.3194706994328923</v>
      </c>
    </row>
    <row r="30" spans="1:4" x14ac:dyDescent="0.3">
      <c r="A30" t="str">
        <v>OR-600</v>
      </c>
      <c r="B30" s="17">
        <v>0.44444444444444442</v>
      </c>
      <c r="C30" s="17">
        <v>0.55555555555555558</v>
      </c>
    </row>
    <row r="31" spans="1:4" x14ac:dyDescent="0.3">
      <c r="A31" t="str">
        <v>RB-600</v>
      </c>
      <c r="B31" s="17">
        <v>0.61946902654867264</v>
      </c>
      <c r="C31" s="17">
        <v>0.38053097345132747</v>
      </c>
    </row>
    <row r="34" spans="1:4" s="19" customFormat="1" x14ac:dyDescent="0.3">
      <c r="A34" s="19" t="s">
        <v>32</v>
      </c>
      <c r="B34" s="19" t="s">
        <v>136</v>
      </c>
      <c r="C34" s="19" t="s">
        <v>121</v>
      </c>
    </row>
    <row r="35" spans="1:4" x14ac:dyDescent="0.3">
      <c r="A35" t="s">
        <v>38</v>
      </c>
      <c r="B35" s="17">
        <v>0.3194706994328923</v>
      </c>
      <c r="C35" s="17">
        <v>0.68052930056710792</v>
      </c>
      <c r="D35" s="17">
        <v>0.3194706994328923</v>
      </c>
    </row>
    <row r="36" spans="1:4" x14ac:dyDescent="0.3">
      <c r="A36" t="s">
        <v>40</v>
      </c>
      <c r="B36" s="17">
        <v>0.32394366197183105</v>
      </c>
      <c r="C36" s="17">
        <v>0.67605633802816911</v>
      </c>
      <c r="D36" s="17">
        <v>0.32394366197183105</v>
      </c>
    </row>
    <row r="37" spans="1:4" x14ac:dyDescent="0.3">
      <c r="A37" t="s">
        <v>39</v>
      </c>
      <c r="B37" s="17">
        <v>0.35437589670014347</v>
      </c>
      <c r="C37" s="17">
        <v>0.64562410329985653</v>
      </c>
      <c r="D37" s="17">
        <v>0.35437589670014347</v>
      </c>
    </row>
    <row r="38" spans="1:4" x14ac:dyDescent="0.3">
      <c r="A38" t="s">
        <v>42</v>
      </c>
      <c r="B38" s="17">
        <v>0.3611473272490221</v>
      </c>
      <c r="C38" s="17">
        <v>0.63885267275097779</v>
      </c>
      <c r="D38" s="17">
        <v>0.3611473272490221</v>
      </c>
    </row>
    <row r="39" spans="1:4" x14ac:dyDescent="0.3">
      <c r="A39" t="s">
        <v>41</v>
      </c>
      <c r="B39" s="17">
        <v>0.38053097345132747</v>
      </c>
      <c r="C39" s="17">
        <v>0.61946902654867264</v>
      </c>
      <c r="D39" s="17">
        <v>0.38053097345132747</v>
      </c>
    </row>
    <row r="40" spans="1:4" x14ac:dyDescent="0.3">
      <c r="A40" t="s">
        <v>37</v>
      </c>
      <c r="B40" s="17">
        <v>0.55555555555555558</v>
      </c>
      <c r="C40" s="17">
        <v>0.44444444444444442</v>
      </c>
      <c r="D40" s="17">
        <v>0.55555555555555558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Line productivity</vt:lpstr>
      <vt:lpstr>Products</vt:lpstr>
      <vt:lpstr>Downtime factors</vt:lpstr>
      <vt:lpstr>Line downtime</vt:lpstr>
      <vt:lpstr>Dataset Audit</vt:lpstr>
      <vt:lpstr>Copy Line downtime</vt:lpstr>
      <vt:lpstr>Fact Downtime</vt:lpstr>
      <vt:lpstr>Production Analysis</vt:lpstr>
      <vt:lpstr>EDA Downtime</vt:lpstr>
      <vt:lpstr>EDA Operator Perfomance</vt:lpstr>
      <vt:lpstr>EDA Product Performance</vt:lpstr>
      <vt:lpstr>EDA Time</vt:lpstr>
      <vt:lpstr>EDA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Diana Chirwa</cp:lastModifiedBy>
  <cp:revision/>
  <dcterms:created xsi:type="dcterms:W3CDTF">2026-08-23T13:05:19Z</dcterms:created>
  <dcterms:modified xsi:type="dcterms:W3CDTF">2026-10-16T14:01:29Z</dcterms:modified>
  <cp:category/>
  <cp:contentStatus/>
</cp:coreProperties>
</file>